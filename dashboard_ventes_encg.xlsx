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2025-2026\Formation Excel\"/>
    </mc:Choice>
  </mc:AlternateContent>
  <xr:revisionPtr revIDLastSave="0" documentId="8_{1BADF270-547F-4DAD-9D8B-0449CC6D0030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📊 DASHBOARD" sheetId="1" r:id="rId1"/>
    <sheet name="Données" sheetId="2" r:id="rId2"/>
    <sheet name="Résumé Mensuel" sheetId="3" r:id="rId3"/>
    <sheet name="Analyse Villes" sheetId="4" r:id="rId4"/>
    <sheet name="Analyse Produits" sheetId="5" r:id="rId5"/>
    <sheet name="ℹ️ Guid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" i="5" l="1"/>
  <c r="H8" i="5"/>
  <c r="H7" i="5"/>
  <c r="H6" i="5"/>
  <c r="H5" i="5"/>
  <c r="H4" i="5"/>
  <c r="H9" i="4"/>
  <c r="E9" i="4"/>
  <c r="H8" i="4"/>
  <c r="E8" i="4"/>
  <c r="H7" i="4"/>
  <c r="E7" i="4"/>
  <c r="H6" i="4"/>
  <c r="E6" i="4"/>
  <c r="H5" i="4"/>
  <c r="E5" i="4"/>
  <c r="H4" i="4"/>
  <c r="E4" i="4"/>
  <c r="F16" i="3"/>
  <c r="D16" i="3"/>
  <c r="C16" i="3"/>
  <c r="E16" i="3" s="1"/>
  <c r="H15" i="3"/>
  <c r="E15" i="3"/>
  <c r="H14" i="3"/>
  <c r="E14" i="3"/>
  <c r="H13" i="3"/>
  <c r="E13" i="3"/>
  <c r="H12" i="3"/>
  <c r="E12" i="3"/>
  <c r="H11" i="3"/>
  <c r="E11" i="3"/>
  <c r="H10" i="3"/>
  <c r="E10" i="3"/>
  <c r="H9" i="3"/>
  <c r="E9" i="3"/>
  <c r="H8" i="3"/>
  <c r="E8" i="3"/>
  <c r="H7" i="3"/>
  <c r="E7" i="3"/>
  <c r="H6" i="3"/>
  <c r="E6" i="3"/>
  <c r="H5" i="3"/>
  <c r="E5" i="3"/>
  <c r="G4" i="3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E4" i="3"/>
  <c r="J433" i="2"/>
  <c r="L433" i="2" s="1"/>
  <c r="J432" i="2"/>
  <c r="L432" i="2" s="1"/>
  <c r="J431" i="2"/>
  <c r="L431" i="2" s="1"/>
  <c r="J430" i="2"/>
  <c r="L430" i="2" s="1"/>
  <c r="J429" i="2"/>
  <c r="L429" i="2" s="1"/>
  <c r="J428" i="2"/>
  <c r="L428" i="2" s="1"/>
  <c r="J427" i="2"/>
  <c r="L427" i="2" s="1"/>
  <c r="J426" i="2"/>
  <c r="L426" i="2" s="1"/>
  <c r="J425" i="2"/>
  <c r="L425" i="2" s="1"/>
  <c r="J424" i="2"/>
  <c r="L424" i="2" s="1"/>
  <c r="J423" i="2"/>
  <c r="L423" i="2" s="1"/>
  <c r="J422" i="2"/>
  <c r="L422" i="2" s="1"/>
  <c r="J421" i="2"/>
  <c r="L421" i="2" s="1"/>
  <c r="J420" i="2"/>
  <c r="L420" i="2" s="1"/>
  <c r="J419" i="2"/>
  <c r="L419" i="2" s="1"/>
  <c r="J418" i="2"/>
  <c r="L418" i="2" s="1"/>
  <c r="J417" i="2"/>
  <c r="L417" i="2" s="1"/>
  <c r="J416" i="2"/>
  <c r="L416" i="2" s="1"/>
  <c r="J415" i="2"/>
  <c r="L415" i="2" s="1"/>
  <c r="J414" i="2"/>
  <c r="L414" i="2" s="1"/>
  <c r="J413" i="2"/>
  <c r="L413" i="2" s="1"/>
  <c r="J412" i="2"/>
  <c r="L412" i="2" s="1"/>
  <c r="J411" i="2"/>
  <c r="L411" i="2" s="1"/>
  <c r="J410" i="2"/>
  <c r="L410" i="2" s="1"/>
  <c r="J409" i="2"/>
  <c r="L409" i="2" s="1"/>
  <c r="J408" i="2"/>
  <c r="L408" i="2" s="1"/>
  <c r="J407" i="2"/>
  <c r="L407" i="2" s="1"/>
  <c r="J406" i="2"/>
  <c r="L406" i="2" s="1"/>
  <c r="J405" i="2"/>
  <c r="L405" i="2" s="1"/>
  <c r="J404" i="2"/>
  <c r="L404" i="2" s="1"/>
  <c r="J403" i="2"/>
  <c r="L403" i="2" s="1"/>
  <c r="J402" i="2"/>
  <c r="L402" i="2" s="1"/>
  <c r="J401" i="2"/>
  <c r="L401" i="2" s="1"/>
  <c r="J400" i="2"/>
  <c r="L400" i="2" s="1"/>
  <c r="J399" i="2"/>
  <c r="L399" i="2" s="1"/>
  <c r="J398" i="2"/>
  <c r="L398" i="2" s="1"/>
  <c r="J397" i="2"/>
  <c r="L397" i="2" s="1"/>
  <c r="J396" i="2"/>
  <c r="L396" i="2" s="1"/>
  <c r="J395" i="2"/>
  <c r="L395" i="2" s="1"/>
  <c r="J394" i="2"/>
  <c r="L394" i="2" s="1"/>
  <c r="J393" i="2"/>
  <c r="L393" i="2" s="1"/>
  <c r="J392" i="2"/>
  <c r="L392" i="2" s="1"/>
  <c r="J391" i="2"/>
  <c r="L391" i="2" s="1"/>
  <c r="J390" i="2"/>
  <c r="L390" i="2" s="1"/>
  <c r="J389" i="2"/>
  <c r="L389" i="2" s="1"/>
  <c r="J388" i="2"/>
  <c r="L388" i="2" s="1"/>
  <c r="J387" i="2"/>
  <c r="L387" i="2" s="1"/>
  <c r="J386" i="2"/>
  <c r="L386" i="2" s="1"/>
  <c r="J385" i="2"/>
  <c r="L385" i="2" s="1"/>
  <c r="J384" i="2"/>
  <c r="L384" i="2" s="1"/>
  <c r="J383" i="2"/>
  <c r="L383" i="2" s="1"/>
  <c r="J382" i="2"/>
  <c r="L382" i="2" s="1"/>
  <c r="J381" i="2"/>
  <c r="L381" i="2" s="1"/>
  <c r="J380" i="2"/>
  <c r="L380" i="2" s="1"/>
  <c r="J379" i="2"/>
  <c r="L379" i="2" s="1"/>
  <c r="L378" i="2"/>
  <c r="J378" i="2"/>
  <c r="J377" i="2"/>
  <c r="L377" i="2" s="1"/>
  <c r="J376" i="2"/>
  <c r="L376" i="2" s="1"/>
  <c r="J375" i="2"/>
  <c r="L375" i="2" s="1"/>
  <c r="J374" i="2"/>
  <c r="L374" i="2" s="1"/>
  <c r="J373" i="2"/>
  <c r="L373" i="2" s="1"/>
  <c r="J372" i="2"/>
  <c r="L372" i="2" s="1"/>
  <c r="J371" i="2"/>
  <c r="L371" i="2" s="1"/>
  <c r="J370" i="2"/>
  <c r="L370" i="2" s="1"/>
  <c r="J369" i="2"/>
  <c r="L369" i="2" s="1"/>
  <c r="J368" i="2"/>
  <c r="L368" i="2" s="1"/>
  <c r="J367" i="2"/>
  <c r="L367" i="2" s="1"/>
  <c r="J366" i="2"/>
  <c r="L366" i="2" s="1"/>
  <c r="J365" i="2"/>
  <c r="L365" i="2" s="1"/>
  <c r="J364" i="2"/>
  <c r="L364" i="2" s="1"/>
  <c r="J363" i="2"/>
  <c r="L363" i="2" s="1"/>
  <c r="J362" i="2"/>
  <c r="L362" i="2" s="1"/>
  <c r="J361" i="2"/>
  <c r="L361" i="2" s="1"/>
  <c r="J360" i="2"/>
  <c r="L360" i="2" s="1"/>
  <c r="J359" i="2"/>
  <c r="L359" i="2" s="1"/>
  <c r="J358" i="2"/>
  <c r="L358" i="2" s="1"/>
  <c r="J357" i="2"/>
  <c r="L357" i="2" s="1"/>
  <c r="J356" i="2"/>
  <c r="L356" i="2" s="1"/>
  <c r="J355" i="2"/>
  <c r="L355" i="2" s="1"/>
  <c r="J354" i="2"/>
  <c r="L354" i="2" s="1"/>
  <c r="J353" i="2"/>
  <c r="L353" i="2" s="1"/>
  <c r="J352" i="2"/>
  <c r="L352" i="2" s="1"/>
  <c r="J351" i="2"/>
  <c r="L351" i="2" s="1"/>
  <c r="J350" i="2"/>
  <c r="L350" i="2" s="1"/>
  <c r="J349" i="2"/>
  <c r="L349" i="2" s="1"/>
  <c r="J348" i="2"/>
  <c r="L348" i="2" s="1"/>
  <c r="J347" i="2"/>
  <c r="L347" i="2" s="1"/>
  <c r="J346" i="2"/>
  <c r="L346" i="2" s="1"/>
  <c r="J345" i="2"/>
  <c r="L345" i="2" s="1"/>
  <c r="J344" i="2"/>
  <c r="L344" i="2" s="1"/>
  <c r="J343" i="2"/>
  <c r="L343" i="2" s="1"/>
  <c r="J342" i="2"/>
  <c r="L342" i="2" s="1"/>
  <c r="J341" i="2"/>
  <c r="L341" i="2" s="1"/>
  <c r="J340" i="2"/>
  <c r="L340" i="2" s="1"/>
  <c r="J339" i="2"/>
  <c r="L339" i="2" s="1"/>
  <c r="J338" i="2"/>
  <c r="L338" i="2" s="1"/>
  <c r="J337" i="2"/>
  <c r="L337" i="2" s="1"/>
  <c r="J336" i="2"/>
  <c r="L336" i="2" s="1"/>
  <c r="J335" i="2"/>
  <c r="L335" i="2" s="1"/>
  <c r="J334" i="2"/>
  <c r="L334" i="2" s="1"/>
  <c r="J333" i="2"/>
  <c r="L333" i="2" s="1"/>
  <c r="J332" i="2"/>
  <c r="L332" i="2" s="1"/>
  <c r="J331" i="2"/>
  <c r="L331" i="2" s="1"/>
  <c r="J330" i="2"/>
  <c r="L330" i="2" s="1"/>
  <c r="J329" i="2"/>
  <c r="L329" i="2" s="1"/>
  <c r="J328" i="2"/>
  <c r="L328" i="2" s="1"/>
  <c r="J327" i="2"/>
  <c r="L327" i="2" s="1"/>
  <c r="J326" i="2"/>
  <c r="L326" i="2" s="1"/>
  <c r="J325" i="2"/>
  <c r="L325" i="2" s="1"/>
  <c r="J324" i="2"/>
  <c r="L324" i="2" s="1"/>
  <c r="J323" i="2"/>
  <c r="L323" i="2" s="1"/>
  <c r="J322" i="2"/>
  <c r="L322" i="2" s="1"/>
  <c r="J321" i="2"/>
  <c r="L321" i="2" s="1"/>
  <c r="J320" i="2"/>
  <c r="L320" i="2" s="1"/>
  <c r="J319" i="2"/>
  <c r="L319" i="2" s="1"/>
  <c r="J318" i="2"/>
  <c r="L318" i="2" s="1"/>
  <c r="J317" i="2"/>
  <c r="L317" i="2" s="1"/>
  <c r="J316" i="2"/>
  <c r="L316" i="2" s="1"/>
  <c r="J315" i="2"/>
  <c r="L315" i="2" s="1"/>
  <c r="J314" i="2"/>
  <c r="L314" i="2" s="1"/>
  <c r="J313" i="2"/>
  <c r="L313" i="2" s="1"/>
  <c r="J312" i="2"/>
  <c r="L312" i="2" s="1"/>
  <c r="J311" i="2"/>
  <c r="L311" i="2" s="1"/>
  <c r="J310" i="2"/>
  <c r="L310" i="2" s="1"/>
  <c r="J309" i="2"/>
  <c r="L309" i="2" s="1"/>
  <c r="J308" i="2"/>
  <c r="L308" i="2" s="1"/>
  <c r="J307" i="2"/>
  <c r="L307" i="2" s="1"/>
  <c r="J306" i="2"/>
  <c r="L306" i="2" s="1"/>
  <c r="J305" i="2"/>
  <c r="L305" i="2" s="1"/>
  <c r="J304" i="2"/>
  <c r="L304" i="2" s="1"/>
  <c r="J303" i="2"/>
  <c r="L303" i="2" s="1"/>
  <c r="J302" i="2"/>
  <c r="L302" i="2" s="1"/>
  <c r="J301" i="2"/>
  <c r="L301" i="2" s="1"/>
  <c r="J300" i="2"/>
  <c r="L300" i="2" s="1"/>
  <c r="J299" i="2"/>
  <c r="L299" i="2" s="1"/>
  <c r="J298" i="2"/>
  <c r="L298" i="2" s="1"/>
  <c r="J297" i="2"/>
  <c r="L297" i="2" s="1"/>
  <c r="J296" i="2"/>
  <c r="L296" i="2" s="1"/>
  <c r="J295" i="2"/>
  <c r="L295" i="2" s="1"/>
  <c r="J294" i="2"/>
  <c r="L294" i="2" s="1"/>
  <c r="J293" i="2"/>
  <c r="L293" i="2" s="1"/>
  <c r="J292" i="2"/>
  <c r="L292" i="2" s="1"/>
  <c r="J291" i="2"/>
  <c r="L291" i="2" s="1"/>
  <c r="J290" i="2"/>
  <c r="L290" i="2" s="1"/>
  <c r="J289" i="2"/>
  <c r="L289" i="2" s="1"/>
  <c r="J288" i="2"/>
  <c r="L288" i="2" s="1"/>
  <c r="J287" i="2"/>
  <c r="L287" i="2" s="1"/>
  <c r="J286" i="2"/>
  <c r="L286" i="2" s="1"/>
  <c r="J285" i="2"/>
  <c r="L285" i="2" s="1"/>
  <c r="J284" i="2"/>
  <c r="L284" i="2" s="1"/>
  <c r="J283" i="2"/>
  <c r="L283" i="2" s="1"/>
  <c r="J282" i="2"/>
  <c r="L282" i="2" s="1"/>
  <c r="J281" i="2"/>
  <c r="L281" i="2" s="1"/>
  <c r="J280" i="2"/>
  <c r="L280" i="2" s="1"/>
  <c r="J279" i="2"/>
  <c r="L279" i="2" s="1"/>
  <c r="J278" i="2"/>
  <c r="L278" i="2" s="1"/>
  <c r="J277" i="2"/>
  <c r="L277" i="2" s="1"/>
  <c r="J276" i="2"/>
  <c r="L276" i="2" s="1"/>
  <c r="J275" i="2"/>
  <c r="L275" i="2" s="1"/>
  <c r="J274" i="2"/>
  <c r="L274" i="2" s="1"/>
  <c r="J273" i="2"/>
  <c r="L273" i="2" s="1"/>
  <c r="J272" i="2"/>
  <c r="L272" i="2" s="1"/>
  <c r="J271" i="2"/>
  <c r="L271" i="2" s="1"/>
  <c r="J270" i="2"/>
  <c r="L270" i="2" s="1"/>
  <c r="J269" i="2"/>
  <c r="L269" i="2" s="1"/>
  <c r="J268" i="2"/>
  <c r="L268" i="2" s="1"/>
  <c r="J267" i="2"/>
  <c r="L267" i="2" s="1"/>
  <c r="J266" i="2"/>
  <c r="L266" i="2" s="1"/>
  <c r="J265" i="2"/>
  <c r="L265" i="2" s="1"/>
  <c r="J264" i="2"/>
  <c r="L264" i="2" s="1"/>
  <c r="J263" i="2"/>
  <c r="L263" i="2" s="1"/>
  <c r="J262" i="2"/>
  <c r="L262" i="2" s="1"/>
  <c r="J261" i="2"/>
  <c r="L261" i="2" s="1"/>
  <c r="J260" i="2"/>
  <c r="L260" i="2" s="1"/>
  <c r="J259" i="2"/>
  <c r="L259" i="2" s="1"/>
  <c r="J258" i="2"/>
  <c r="L258" i="2" s="1"/>
  <c r="J257" i="2"/>
  <c r="L257" i="2" s="1"/>
  <c r="J256" i="2"/>
  <c r="L256" i="2" s="1"/>
  <c r="J255" i="2"/>
  <c r="L255" i="2" s="1"/>
  <c r="J254" i="2"/>
  <c r="L254" i="2" s="1"/>
  <c r="J253" i="2"/>
  <c r="L253" i="2" s="1"/>
  <c r="J252" i="2"/>
  <c r="L252" i="2" s="1"/>
  <c r="J251" i="2"/>
  <c r="L251" i="2" s="1"/>
  <c r="J250" i="2"/>
  <c r="L250" i="2" s="1"/>
  <c r="J249" i="2"/>
  <c r="L249" i="2" s="1"/>
  <c r="J248" i="2"/>
  <c r="L248" i="2" s="1"/>
  <c r="J247" i="2"/>
  <c r="L247" i="2" s="1"/>
  <c r="J246" i="2"/>
  <c r="L246" i="2" s="1"/>
  <c r="J245" i="2"/>
  <c r="L245" i="2" s="1"/>
  <c r="J244" i="2"/>
  <c r="L244" i="2" s="1"/>
  <c r="J243" i="2"/>
  <c r="L243" i="2" s="1"/>
  <c r="J242" i="2"/>
  <c r="L242" i="2" s="1"/>
  <c r="J241" i="2"/>
  <c r="L241" i="2" s="1"/>
  <c r="J240" i="2"/>
  <c r="L240" i="2" s="1"/>
  <c r="J239" i="2"/>
  <c r="L239" i="2" s="1"/>
  <c r="J238" i="2"/>
  <c r="L238" i="2" s="1"/>
  <c r="J237" i="2"/>
  <c r="L237" i="2" s="1"/>
  <c r="J236" i="2"/>
  <c r="L236" i="2" s="1"/>
  <c r="J235" i="2"/>
  <c r="L235" i="2" s="1"/>
  <c r="J234" i="2"/>
  <c r="L234" i="2" s="1"/>
  <c r="J233" i="2"/>
  <c r="L233" i="2" s="1"/>
  <c r="J232" i="2"/>
  <c r="L232" i="2" s="1"/>
  <c r="J231" i="2"/>
  <c r="L231" i="2" s="1"/>
  <c r="J230" i="2"/>
  <c r="L230" i="2" s="1"/>
  <c r="J229" i="2"/>
  <c r="L229" i="2" s="1"/>
  <c r="J228" i="2"/>
  <c r="L228" i="2" s="1"/>
  <c r="J227" i="2"/>
  <c r="L227" i="2" s="1"/>
  <c r="J226" i="2"/>
  <c r="L226" i="2" s="1"/>
  <c r="J225" i="2"/>
  <c r="L225" i="2" s="1"/>
  <c r="J224" i="2"/>
  <c r="L224" i="2" s="1"/>
  <c r="J223" i="2"/>
  <c r="L223" i="2" s="1"/>
  <c r="J222" i="2"/>
  <c r="L222" i="2" s="1"/>
  <c r="J221" i="2"/>
  <c r="L221" i="2" s="1"/>
  <c r="J220" i="2"/>
  <c r="L220" i="2" s="1"/>
  <c r="J219" i="2"/>
  <c r="L219" i="2" s="1"/>
  <c r="J218" i="2"/>
  <c r="L218" i="2" s="1"/>
  <c r="J217" i="2"/>
  <c r="L217" i="2" s="1"/>
  <c r="J216" i="2"/>
  <c r="L216" i="2" s="1"/>
  <c r="J215" i="2"/>
  <c r="L215" i="2" s="1"/>
  <c r="J214" i="2"/>
  <c r="L214" i="2" s="1"/>
  <c r="J213" i="2"/>
  <c r="L213" i="2" s="1"/>
  <c r="J212" i="2"/>
  <c r="L212" i="2" s="1"/>
  <c r="J211" i="2"/>
  <c r="L211" i="2" s="1"/>
  <c r="J210" i="2"/>
  <c r="L210" i="2" s="1"/>
  <c r="J209" i="2"/>
  <c r="L209" i="2" s="1"/>
  <c r="J208" i="2"/>
  <c r="L208" i="2" s="1"/>
  <c r="J207" i="2"/>
  <c r="L207" i="2" s="1"/>
  <c r="J206" i="2"/>
  <c r="L206" i="2" s="1"/>
  <c r="J205" i="2"/>
  <c r="L205" i="2" s="1"/>
  <c r="J204" i="2"/>
  <c r="L204" i="2" s="1"/>
  <c r="J203" i="2"/>
  <c r="L203" i="2" s="1"/>
  <c r="J202" i="2"/>
  <c r="L202" i="2" s="1"/>
  <c r="J201" i="2"/>
  <c r="L201" i="2" s="1"/>
  <c r="J200" i="2"/>
  <c r="L200" i="2" s="1"/>
  <c r="J199" i="2"/>
  <c r="L199" i="2" s="1"/>
  <c r="J198" i="2"/>
  <c r="L198" i="2" s="1"/>
  <c r="J197" i="2"/>
  <c r="L197" i="2" s="1"/>
  <c r="J196" i="2"/>
  <c r="L196" i="2" s="1"/>
  <c r="J195" i="2"/>
  <c r="L195" i="2" s="1"/>
  <c r="J194" i="2"/>
  <c r="L194" i="2" s="1"/>
  <c r="J193" i="2"/>
  <c r="L193" i="2" s="1"/>
  <c r="J192" i="2"/>
  <c r="L192" i="2" s="1"/>
  <c r="J191" i="2"/>
  <c r="L191" i="2" s="1"/>
  <c r="J190" i="2"/>
  <c r="L190" i="2" s="1"/>
  <c r="J189" i="2"/>
  <c r="L189" i="2" s="1"/>
  <c r="J188" i="2"/>
  <c r="L188" i="2" s="1"/>
  <c r="J187" i="2"/>
  <c r="L187" i="2" s="1"/>
  <c r="J186" i="2"/>
  <c r="L186" i="2" s="1"/>
  <c r="L185" i="2"/>
  <c r="J185" i="2"/>
  <c r="J184" i="2"/>
  <c r="L184" i="2" s="1"/>
  <c r="J183" i="2"/>
  <c r="L183" i="2" s="1"/>
  <c r="J182" i="2"/>
  <c r="L182" i="2" s="1"/>
  <c r="J181" i="2"/>
  <c r="L181" i="2" s="1"/>
  <c r="J180" i="2"/>
  <c r="L180" i="2" s="1"/>
  <c r="J179" i="2"/>
  <c r="L179" i="2" s="1"/>
  <c r="J178" i="2"/>
  <c r="L178" i="2" s="1"/>
  <c r="L177" i="2"/>
  <c r="J177" i="2"/>
  <c r="J176" i="2"/>
  <c r="L176" i="2" s="1"/>
  <c r="J175" i="2"/>
  <c r="L175" i="2" s="1"/>
  <c r="J174" i="2"/>
  <c r="L174" i="2" s="1"/>
  <c r="J173" i="2"/>
  <c r="L173" i="2" s="1"/>
  <c r="J172" i="2"/>
  <c r="L172" i="2" s="1"/>
  <c r="J171" i="2"/>
  <c r="L171" i="2" s="1"/>
  <c r="J170" i="2"/>
  <c r="L170" i="2" s="1"/>
  <c r="J169" i="2"/>
  <c r="L169" i="2" s="1"/>
  <c r="J168" i="2"/>
  <c r="L168" i="2" s="1"/>
  <c r="J167" i="2"/>
  <c r="L167" i="2" s="1"/>
  <c r="J166" i="2"/>
  <c r="L166" i="2" s="1"/>
  <c r="J165" i="2"/>
  <c r="L165" i="2" s="1"/>
  <c r="J164" i="2"/>
  <c r="L164" i="2" s="1"/>
  <c r="J163" i="2"/>
  <c r="L163" i="2" s="1"/>
  <c r="J162" i="2"/>
  <c r="L162" i="2" s="1"/>
  <c r="J161" i="2"/>
  <c r="L161" i="2" s="1"/>
  <c r="J160" i="2"/>
  <c r="L160" i="2" s="1"/>
  <c r="L159" i="2"/>
  <c r="J159" i="2"/>
  <c r="J158" i="2"/>
  <c r="L158" i="2" s="1"/>
  <c r="J157" i="2"/>
  <c r="L157" i="2" s="1"/>
  <c r="J156" i="2"/>
  <c r="L156" i="2" s="1"/>
  <c r="J155" i="2"/>
  <c r="L155" i="2" s="1"/>
  <c r="J154" i="2"/>
  <c r="L154" i="2" s="1"/>
  <c r="J153" i="2"/>
  <c r="L153" i="2" s="1"/>
  <c r="J152" i="2"/>
  <c r="L152" i="2" s="1"/>
  <c r="J151" i="2"/>
  <c r="L151" i="2" s="1"/>
  <c r="J150" i="2"/>
  <c r="L150" i="2" s="1"/>
  <c r="J149" i="2"/>
  <c r="L149" i="2" s="1"/>
  <c r="J148" i="2"/>
  <c r="L148" i="2" s="1"/>
  <c r="J147" i="2"/>
  <c r="L147" i="2" s="1"/>
  <c r="J146" i="2"/>
  <c r="L146" i="2" s="1"/>
  <c r="J145" i="2"/>
  <c r="L145" i="2" s="1"/>
  <c r="J144" i="2"/>
  <c r="L144" i="2" s="1"/>
  <c r="J143" i="2"/>
  <c r="L143" i="2" s="1"/>
  <c r="J142" i="2"/>
  <c r="L142" i="2" s="1"/>
  <c r="J141" i="2"/>
  <c r="L141" i="2" s="1"/>
  <c r="J140" i="2"/>
  <c r="L140" i="2" s="1"/>
  <c r="J139" i="2"/>
  <c r="L139" i="2" s="1"/>
  <c r="J138" i="2"/>
  <c r="L138" i="2" s="1"/>
  <c r="L137" i="2"/>
  <c r="J137" i="2"/>
  <c r="J136" i="2"/>
  <c r="L136" i="2" s="1"/>
  <c r="J135" i="2"/>
  <c r="L135" i="2" s="1"/>
  <c r="J134" i="2"/>
  <c r="L134" i="2" s="1"/>
  <c r="J133" i="2"/>
  <c r="L133" i="2" s="1"/>
  <c r="J132" i="2"/>
  <c r="L132" i="2" s="1"/>
  <c r="J131" i="2"/>
  <c r="L131" i="2" s="1"/>
  <c r="J130" i="2"/>
  <c r="L130" i="2" s="1"/>
  <c r="J129" i="2"/>
  <c r="L129" i="2" s="1"/>
  <c r="J128" i="2"/>
  <c r="L128" i="2" s="1"/>
  <c r="J127" i="2"/>
  <c r="L127" i="2" s="1"/>
  <c r="J126" i="2"/>
  <c r="L126" i="2" s="1"/>
  <c r="L125" i="2"/>
  <c r="J125" i="2"/>
  <c r="J124" i="2"/>
  <c r="L124" i="2" s="1"/>
  <c r="J123" i="2"/>
  <c r="L123" i="2" s="1"/>
  <c r="J122" i="2"/>
  <c r="L122" i="2" s="1"/>
  <c r="L121" i="2"/>
  <c r="J121" i="2"/>
  <c r="J120" i="2"/>
  <c r="L120" i="2" s="1"/>
  <c r="J119" i="2"/>
  <c r="L119" i="2" s="1"/>
  <c r="J118" i="2"/>
  <c r="L118" i="2" s="1"/>
  <c r="J117" i="2"/>
  <c r="L117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L90" i="2"/>
  <c r="J90" i="2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L71" i="2"/>
  <c r="J71" i="2"/>
  <c r="L70" i="2"/>
  <c r="J70" i="2"/>
  <c r="J69" i="2"/>
  <c r="L69" i="2" s="1"/>
  <c r="J68" i="2"/>
  <c r="L68" i="2" s="1"/>
  <c r="J67" i="2"/>
  <c r="L67" i="2" s="1"/>
  <c r="J66" i="2"/>
  <c r="L66" i="2" s="1"/>
  <c r="J65" i="2"/>
  <c r="L65" i="2" s="1"/>
  <c r="L64" i="2"/>
  <c r="J64" i="2"/>
  <c r="J63" i="2"/>
  <c r="L63" i="2" s="1"/>
  <c r="L62" i="2"/>
  <c r="J62" i="2"/>
  <c r="J61" i="2"/>
  <c r="L61" i="2" s="1"/>
  <c r="J60" i="2"/>
  <c r="L60" i="2" s="1"/>
  <c r="L59" i="2"/>
  <c r="J59" i="2"/>
  <c r="J58" i="2"/>
  <c r="L58" i="2" s="1"/>
  <c r="J57" i="2"/>
  <c r="L57" i="2" s="1"/>
  <c r="L56" i="2"/>
  <c r="J56" i="2"/>
  <c r="J55" i="2"/>
  <c r="L55" i="2" s="1"/>
  <c r="L54" i="2"/>
  <c r="J54" i="2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5" i="2"/>
  <c r="L45" i="2" s="1"/>
  <c r="J44" i="2"/>
  <c r="L44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30" i="2"/>
  <c r="L30" i="2" s="1"/>
  <c r="J29" i="2"/>
  <c r="L29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L11" i="2"/>
  <c r="J11" i="2"/>
  <c r="J10" i="2"/>
  <c r="L10" i="2" s="1"/>
  <c r="J9" i="2"/>
  <c r="L9" i="2" s="1"/>
  <c r="J8" i="2"/>
  <c r="L8" i="2" s="1"/>
  <c r="J7" i="2"/>
  <c r="L7" i="2" s="1"/>
  <c r="L6" i="2"/>
  <c r="J6" i="2"/>
  <c r="J5" i="2"/>
  <c r="L5" i="2" s="1"/>
  <c r="J4" i="2"/>
  <c r="L4" i="2" s="1"/>
  <c r="J3" i="2"/>
  <c r="L3" i="2" s="1"/>
  <c r="J2" i="2"/>
  <c r="L2" i="2" s="1"/>
</calcChain>
</file>

<file path=xl/sharedStrings.xml><?xml version="1.0" encoding="utf-8"?>
<sst xmlns="http://schemas.openxmlformats.org/spreadsheetml/2006/main" count="2326" uniqueCount="117">
  <si>
    <t>TABLEAU DE BORD — DISTRIBUTION FOURNITURES MAROC 2025</t>
  </si>
  <si>
    <t>Données synthétiques | ENCG Settat | Informatique de Gestion</t>
  </si>
  <si>
    <t>📈</t>
  </si>
  <si>
    <t>🎯</t>
  </si>
  <si>
    <t>✅</t>
  </si>
  <si>
    <t>📦</t>
  </si>
  <si>
    <t>🏙️</t>
  </si>
  <si>
    <t>🏆</t>
  </si>
  <si>
    <t>CA Total 2025</t>
  </si>
  <si>
    <t>Objectif Global</t>
  </si>
  <si>
    <t>% Réalisation</t>
  </si>
  <si>
    <t>Qté Totale Vendue</t>
  </si>
  <si>
    <t>N° Villes Actives</t>
  </si>
  <si>
    <t>Meilleure Ville</t>
  </si>
  <si>
    <t>1,151,404 MAD</t>
  </si>
  <si>
    <t>1,182,830 MAD</t>
  </si>
  <si>
    <t>97.3%</t>
  </si>
  <si>
    <t>48,845</t>
  </si>
  <si>
    <t>6</t>
  </si>
  <si>
    <t>Casablanca</t>
  </si>
  <si>
    <t>Évolution Mensuelle du CA</t>
  </si>
  <si>
    <t>Performance par Ville</t>
  </si>
  <si>
    <t>Top Produits</t>
  </si>
  <si>
    <t>Mois</t>
  </si>
  <si>
    <t>CA (MAD)</t>
  </si>
  <si>
    <t>Obj. (MAD)</t>
  </si>
  <si>
    <t>% Réal.</t>
  </si>
  <si>
    <t>Ville</t>
  </si>
  <si>
    <t>% du Total</t>
  </si>
  <si>
    <t>Rang</t>
  </si>
  <si>
    <t>Produit</t>
  </si>
  <si>
    <t>Qté</t>
  </si>
  <si>
    <t>% CA</t>
  </si>
  <si>
    <t>Jan</t>
  </si>
  <si>
    <t>🥇</t>
  </si>
  <si>
    <t>Rame Papier</t>
  </si>
  <si>
    <t>Fév</t>
  </si>
  <si>
    <t>Rabat</t>
  </si>
  <si>
    <t>🥈</t>
  </si>
  <si>
    <t>Classeur</t>
  </si>
  <si>
    <t>Mar</t>
  </si>
  <si>
    <t>Marrakech</t>
  </si>
  <si>
    <t>🥉</t>
  </si>
  <si>
    <t>Cahier A4</t>
  </si>
  <si>
    <t>Avr</t>
  </si>
  <si>
    <t>Tanger</t>
  </si>
  <si>
    <t>4️⃣</t>
  </si>
  <si>
    <t>Marqueur</t>
  </si>
  <si>
    <t>Mai</t>
  </si>
  <si>
    <t>Fès</t>
  </si>
  <si>
    <t>5️⃣</t>
  </si>
  <si>
    <t>Stylo Bille</t>
  </si>
  <si>
    <t>Jun</t>
  </si>
  <si>
    <t>Agadir</t>
  </si>
  <si>
    <t>6️⃣</t>
  </si>
  <si>
    <t>Règle</t>
  </si>
  <si>
    <t>Jul</t>
  </si>
  <si>
    <t>Aoû</t>
  </si>
  <si>
    <t>Sep</t>
  </si>
  <si>
    <t>Oct</t>
  </si>
  <si>
    <t>Nov</t>
  </si>
  <si>
    <t>Déc</t>
  </si>
  <si>
    <t>N°</t>
  </si>
  <si>
    <t>N° Mois</t>
  </si>
  <si>
    <t>Région</t>
  </si>
  <si>
    <t>Catégorie</t>
  </si>
  <si>
    <t>Prix Unit. (MAD)</t>
  </si>
  <si>
    <t>Quantité</t>
  </si>
  <si>
    <t>Objectif (MAD)</t>
  </si>
  <si>
    <t>Grand Casablanca</t>
  </si>
  <si>
    <t>Écriture</t>
  </si>
  <si>
    <t>Papeterie</t>
  </si>
  <si>
    <t>Rangement</t>
  </si>
  <si>
    <t>Fourniture</t>
  </si>
  <si>
    <t>Rabat-Salé</t>
  </si>
  <si>
    <t>Marrakech-Safi</t>
  </si>
  <si>
    <t>Fès-Meknès</t>
  </si>
  <si>
    <t>Souss-Massa</t>
  </si>
  <si>
    <t>Tanger-Tétouan</t>
  </si>
  <si>
    <t>CA Total (MAD)</t>
  </si>
  <si>
    <t>Qté Vendue</t>
  </si>
  <si>
    <t>CA Cumulé (MAD)</t>
  </si>
  <si>
    <t>Var. M/M</t>
  </si>
  <si>
    <t>—</t>
  </si>
  <si>
    <t>TOTAL</t>
  </si>
  <si>
    <t>% Réalis.</t>
  </si>
  <si>
    <t>Qté Totale</t>
  </si>
  <si>
    <t>Nb Lignes</t>
  </si>
  <si>
    <t>CA Moy/Ligne</t>
  </si>
  <si>
    <t>Prix Unit.</t>
  </si>
  <si>
    <t>% du CA Total</t>
  </si>
  <si>
    <t>Marge Estim. (30%)</t>
  </si>
  <si>
    <t>GUIDE D'UTILISATION DU DASHBOARD</t>
  </si>
  <si>
    <t>📊 ONGLET : 📊 DASHBOARD</t>
  </si>
  <si>
    <t>• Vue synthétique avec 6 KPI clés (CA, Objectif, % Réalisation, Quantités, Villes, Meilleure ville)</t>
  </si>
  <si>
    <t>• Tableau d'évolution mensuelle avec mise en forme conditionnelle (vert = ≥110%, rouge = &lt;85%)</t>
  </si>
  <si>
    <t>• Performance par ville avec classement (🥇🥈🥉)</t>
  </si>
  <si>
    <t>• Top produits par CA et par quantité vendue</t>
  </si>
  <si>
    <t>• 2 graphiques : Histogramme CA vs Objectif + Camembert par ville</t>
  </si>
  <si>
    <t>📅 ONGLET : Résumé Mensuel</t>
  </si>
  <si>
    <t>• Agrégation mensuelle : CA, Objectif, % Réalisation, Qté, CA Cumulé, Variation M/M</t>
  </si>
  <si>
    <t>• Graphique histogramme CA mensuel + courbe CA cumulé</t>
  </si>
  <si>
    <t>🏙️ ONGLET : Analyse Villes</t>
  </si>
  <si>
    <t>• Classement des 6 villes par CA total avec médailles 🥇🥈🥉</t>
  </si>
  <si>
    <t>• Barre de données conditionnelle sur le CA (vert)</t>
  </si>
  <si>
    <t>• Graphique camembert de répartition par ville</t>
  </si>
  <si>
    <t>📦 ONGLET : Analyse Produits</t>
  </si>
  <si>
    <t>• Performance des 6 produits avec % du CA total et marge estimée (30%)</t>
  </si>
  <si>
    <t>• Barre de données conditionnelle sur le CA (violet)</t>
  </si>
  <si>
    <t>• Graphique barres horizontales CA par produit</t>
  </si>
  <si>
    <t>🗃️ ONGLET : Données</t>
  </si>
  <si>
    <t>• 432 lignes de données brutes (12 mois × 6 villes × 6 produits)</t>
  </si>
  <si>
    <t>• Colonnes : Mois, Ville, Région, Produit, Catégorie, Prix, Quantité, CA, Objectif, % Réal.</t>
  </si>
  <si>
    <t>• Mise en forme conditionnelle : dégradé vert/rouge sur % Réalisation</t>
  </si>
  <si>
    <t>💡 CONSEIL PÉDAGOGIQUE</t>
  </si>
  <si>
    <t>Utilisez Données → Filtres automatiques pour explorer. Créez votre propre TCD depuis la feuille Données !</t>
  </si>
  <si>
    <t>Exercice : Insérez → Tableau Croisé Dynamique sur la feuille Données pour reproduire les analyses.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</si>
</sst>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&quot; MAD&quot;"/>
    <numFmt numFmtId="165" formatCode="0.0%"/>
    <numFmt numFmtId="166" formatCode="#,##0.00&quot; MAD&quot;"/>
    <numFmt numFmtId="167" formatCode="\+0.0%;\-0.0%"/>
    <numFmt numFmtId="168" formatCode="0.00&quot; MAD&quot;"/>
  </numFmts>
  <fonts count="26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1"/>
      <color rgb="FF757575"/>
      <name val="Arial"/>
      <charset val="1"/>
    </font>
    <font>
      <sz val="18"/>
      <name val="Arial"/>
      <charset val="1"/>
    </font>
    <font>
      <sz val="10"/>
      <color rgb="FF757575"/>
      <name val="Arial"/>
      <charset val="1"/>
    </font>
    <font>
      <b/>
      <sz val="14"/>
      <color rgb="FF217346"/>
      <name val="Arial"/>
      <charset val="1"/>
    </font>
    <font>
      <b/>
      <sz val="14"/>
      <color rgb="FF1A73E8"/>
      <name val="Arial"/>
      <charset val="1"/>
    </font>
    <font>
      <b/>
      <sz val="14"/>
      <color rgb="FFD4A017"/>
      <name val="Arial"/>
      <charset val="1"/>
    </font>
    <font>
      <b/>
      <sz val="14"/>
      <color rgb="FF6A1B9A"/>
      <name val="Arial"/>
      <charset val="1"/>
    </font>
    <font>
      <b/>
      <sz val="14"/>
      <color rgb="FFEA4335"/>
      <name val="Arial"/>
      <charset val="1"/>
    </font>
    <font>
      <b/>
      <sz val="14"/>
      <color rgb="FF145230"/>
      <name val="Arial"/>
      <charset val="1"/>
    </font>
    <font>
      <b/>
      <sz val="12"/>
      <color rgb="FF145230"/>
      <name val="Arial"/>
      <charset val="1"/>
    </font>
    <font>
      <b/>
      <sz val="12"/>
      <color rgb="FF0D47A1"/>
      <name val="Arial"/>
      <charset val="1"/>
    </font>
    <font>
      <b/>
      <sz val="12"/>
      <color rgb="FF6A1B9A"/>
      <name val="Arial"/>
      <charset val="1"/>
    </font>
    <font>
      <b/>
      <sz val="10"/>
      <color rgb="FFFFFFFF"/>
      <name val="Arial"/>
      <charset val="1"/>
    </font>
    <font>
      <b/>
      <sz val="11"/>
      <color rgb="FF145230"/>
      <name val="Arial"/>
      <charset val="1"/>
    </font>
    <font>
      <b/>
      <sz val="11"/>
      <color rgb="FFFFFFFF"/>
      <name val="Arial"/>
      <charset val="1"/>
    </font>
    <font>
      <b/>
      <sz val="11"/>
      <color rgb="FF2C2C2C"/>
      <name val="Arial"/>
      <charset val="1"/>
    </font>
    <font>
      <b/>
      <sz val="16"/>
      <color rgb="FF145230"/>
      <name val="Arial"/>
      <charset val="1"/>
    </font>
    <font>
      <b/>
      <sz val="13"/>
      <color rgb="FF217346"/>
      <name val="Arial"/>
      <charset val="1"/>
    </font>
    <font>
      <sz val="11"/>
      <color rgb="FF2C2C2C"/>
      <name val="Arial"/>
      <charset val="1"/>
    </font>
    <font>
      <b/>
      <sz val="13"/>
      <color rgb="FF1A73E8"/>
      <name val="Arial"/>
      <charset val="1"/>
    </font>
    <font>
      <b/>
      <sz val="13"/>
      <color rgb="FFEA4335"/>
      <name val="Arial"/>
      <charset val="1"/>
    </font>
    <font>
      <b/>
      <sz val="13"/>
      <color rgb="FF6A1B9A"/>
      <name val="Arial"/>
      <charset val="1"/>
    </font>
    <font>
      <b/>
      <sz val="13"/>
      <color rgb="FF2C2C2C"/>
      <name val="Arial"/>
      <charset val="1"/>
    </font>
    <font>
      <b/>
      <sz val="13"/>
      <color rgb="FFD4A017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145230"/>
        <bgColor rgb="FF217346"/>
      </patternFill>
    </fill>
    <fill>
      <patternFill patternType="solid">
        <fgColor rgb="FFF0F4F0"/>
        <bgColor rgb="FFE8F5E9"/>
      </patternFill>
    </fill>
    <fill>
      <patternFill patternType="solid">
        <fgColor rgb="FFE8F5E9"/>
        <bgColor rgb="FFF0F4F0"/>
      </patternFill>
    </fill>
    <fill>
      <patternFill patternType="solid">
        <fgColor rgb="FFEAF2FD"/>
        <bgColor rgb="FFEEF5FF"/>
      </patternFill>
    </fill>
    <fill>
      <patternFill patternType="solid">
        <fgColor rgb="FFFFF9E6"/>
        <bgColor rgb="FFF9F9F9"/>
      </patternFill>
    </fill>
    <fill>
      <patternFill patternType="solid">
        <fgColor rgb="FFF3EAF9"/>
        <bgColor rgb="FFEAF2FD"/>
      </patternFill>
    </fill>
    <fill>
      <patternFill patternType="solid">
        <fgColor rgb="FFFEE8E6"/>
        <bgColor rgb="FFF3EAF9"/>
      </patternFill>
    </fill>
    <fill>
      <patternFill patternType="solid">
        <fgColor rgb="FF217346"/>
        <bgColor rgb="FF145230"/>
      </patternFill>
    </fill>
    <fill>
      <patternFill patternType="solid">
        <fgColor rgb="FF1A73E8"/>
        <bgColor rgb="FF0066CC"/>
      </patternFill>
    </fill>
    <fill>
      <patternFill patternType="solid">
        <fgColor rgb="FF6A1B9A"/>
        <bgColor rgb="FF800080"/>
      </patternFill>
    </fill>
    <fill>
      <patternFill patternType="solid">
        <fgColor rgb="FFDCEDC8"/>
        <bgColor rgb="FFDDDDDD"/>
      </patternFill>
    </fill>
    <fill>
      <patternFill patternType="solid">
        <fgColor rgb="FFF9FBF9"/>
        <bgColor rgb="FFFAFAFA"/>
      </patternFill>
    </fill>
    <fill>
      <patternFill patternType="solid">
        <fgColor rgb="FFEEF5FF"/>
        <bgColor rgb="FFEAF2FD"/>
      </patternFill>
    </fill>
    <fill>
      <patternFill patternType="solid">
        <fgColor rgb="FFFFF9C4"/>
        <bgColor rgb="FFFFF9E6"/>
      </patternFill>
    </fill>
    <fill>
      <patternFill patternType="solid">
        <fgColor rgb="FFFAFAFA"/>
        <bgColor rgb="FFF9FBF9"/>
      </patternFill>
    </fill>
    <fill>
      <patternFill patternType="solid">
        <fgColor rgb="FFFFD700"/>
        <bgColor rgb="FFD4A017"/>
      </patternFill>
    </fill>
    <fill>
      <patternFill patternType="solid">
        <fgColor rgb="FFC0C0C0"/>
        <bgColor rgb="FFBDBDBD"/>
      </patternFill>
    </fill>
    <fill>
      <patternFill patternType="solid">
        <fgColor rgb="FFCD7F32"/>
        <bgColor rgb="FFD4A017"/>
      </patternFill>
    </fill>
  </fills>
  <borders count="10">
    <border>
      <left/>
      <right/>
      <top/>
      <bottom/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/>
      <right/>
      <top style="thick">
        <color rgb="FF217346"/>
      </top>
      <bottom/>
      <diagonal/>
    </border>
    <border>
      <left/>
      <right/>
      <top style="thick">
        <color rgb="FF1A73E8"/>
      </top>
      <bottom/>
      <diagonal/>
    </border>
    <border>
      <left/>
      <right/>
      <top style="thick">
        <color rgb="FFD4A017"/>
      </top>
      <bottom/>
      <diagonal/>
    </border>
    <border>
      <left/>
      <right/>
      <top style="thick">
        <color rgb="FF6A1B9A"/>
      </top>
      <bottom/>
      <diagonal/>
    </border>
    <border>
      <left/>
      <right/>
      <top style="thick">
        <color rgb="FFEA4335"/>
      </top>
      <bottom/>
      <diagonal/>
    </border>
    <border>
      <left/>
      <right/>
      <top style="thick">
        <color rgb="FF145230"/>
      </top>
      <bottom/>
      <diagonal/>
    </border>
    <border>
      <left/>
      <right/>
      <top/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5" fillId="4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4" fillId="9" borderId="9" xfId="0" applyFont="1" applyFill="1" applyBorder="1" applyAlignment="1">
      <alignment horizontal="center" vertical="center"/>
    </xf>
    <xf numFmtId="0" fontId="14" fillId="10" borderId="9" xfId="0" applyFont="1" applyFill="1" applyBorder="1" applyAlignment="1">
      <alignment horizontal="center" vertical="center"/>
    </xf>
    <xf numFmtId="0" fontId="14" fillId="11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9" xfId="0" applyNumberFormat="1" applyBorder="1" applyAlignment="1">
      <alignment horizontal="right" vertical="center"/>
    </xf>
    <xf numFmtId="165" fontId="0" fillId="12" borderId="9" xfId="0" applyNumberFormat="1" applyFill="1" applyBorder="1" applyAlignment="1">
      <alignment horizontal="center" vertical="center"/>
    </xf>
    <xf numFmtId="0" fontId="15" fillId="0" borderId="9" xfId="0" applyFont="1" applyBorder="1" applyAlignment="1">
      <alignment horizontal="left" vertical="center"/>
    </xf>
    <xf numFmtId="164" fontId="15" fillId="0" borderId="9" xfId="0" applyNumberFormat="1" applyFont="1" applyBorder="1" applyAlignment="1">
      <alignment horizontal="right" vertical="center"/>
    </xf>
    <xf numFmtId="165" fontId="15" fillId="0" borderId="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3" fontId="0" fillId="0" borderId="9" xfId="0" applyNumberFormat="1" applyBorder="1" applyAlignment="1">
      <alignment horizontal="right" vertical="center"/>
    </xf>
    <xf numFmtId="165" fontId="0" fillId="0" borderId="9" xfId="0" applyNumberFormat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164" fontId="0" fillId="13" borderId="9" xfId="0" applyNumberFormat="1" applyFill="1" applyBorder="1" applyAlignment="1">
      <alignment horizontal="right" vertical="center"/>
    </xf>
    <xf numFmtId="0" fontId="0" fillId="14" borderId="9" xfId="0" applyFill="1" applyBorder="1" applyAlignment="1">
      <alignment horizontal="left" vertical="center"/>
    </xf>
    <xf numFmtId="164" fontId="0" fillId="14" borderId="9" xfId="0" applyNumberFormat="1" applyFill="1" applyBorder="1" applyAlignment="1">
      <alignment horizontal="right" vertical="center"/>
    </xf>
    <xf numFmtId="165" fontId="0" fillId="14" borderId="9" xfId="0" applyNumberFormat="1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left" vertical="center"/>
    </xf>
    <xf numFmtId="164" fontId="0" fillId="7" borderId="9" xfId="0" applyNumberFormat="1" applyFill="1" applyBorder="1" applyAlignment="1">
      <alignment horizontal="right" vertical="center"/>
    </xf>
    <xf numFmtId="3" fontId="0" fillId="7" borderId="9" xfId="0" applyNumberFormat="1" applyFill="1" applyBorder="1" applyAlignment="1">
      <alignment horizontal="right" vertical="center"/>
    </xf>
    <xf numFmtId="165" fontId="0" fillId="7" borderId="9" xfId="0" applyNumberFormat="1" applyFill="1" applyBorder="1" applyAlignment="1">
      <alignment horizontal="center" vertical="center"/>
    </xf>
    <xf numFmtId="165" fontId="0" fillId="15" borderId="9" xfId="0" applyNumberForma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 wrapText="1"/>
    </xf>
    <xf numFmtId="166" fontId="0" fillId="0" borderId="9" xfId="0" applyNumberFormat="1" applyBorder="1" applyAlignment="1">
      <alignment horizontal="right" vertical="center"/>
    </xf>
    <xf numFmtId="0" fontId="0" fillId="16" borderId="9" xfId="0" applyFill="1" applyBorder="1" applyAlignment="1">
      <alignment horizontal="center" vertical="center"/>
    </xf>
    <xf numFmtId="0" fontId="0" fillId="16" borderId="9" xfId="0" applyFill="1" applyBorder="1" applyAlignment="1">
      <alignment horizontal="left" vertical="center"/>
    </xf>
    <xf numFmtId="166" fontId="0" fillId="16" borderId="9" xfId="0" applyNumberFormat="1" applyFill="1" applyBorder="1" applyAlignment="1">
      <alignment horizontal="right" vertical="center"/>
    </xf>
    <xf numFmtId="165" fontId="0" fillId="16" borderId="9" xfId="0" applyNumberFormat="1" applyFill="1" applyBorder="1" applyAlignment="1">
      <alignment horizontal="center" vertical="center"/>
    </xf>
    <xf numFmtId="0" fontId="16" fillId="9" borderId="9" xfId="0" applyFont="1" applyFill="1" applyBorder="1" applyAlignment="1">
      <alignment horizontal="center" vertical="center" wrapText="1"/>
    </xf>
    <xf numFmtId="165" fontId="0" fillId="13" borderId="9" xfId="0" applyNumberFormat="1" applyFill="1" applyBorder="1" applyAlignment="1">
      <alignment horizontal="center" vertical="center"/>
    </xf>
    <xf numFmtId="3" fontId="0" fillId="13" borderId="9" xfId="0" applyNumberFormat="1" applyFill="1" applyBorder="1" applyAlignment="1">
      <alignment horizontal="right" vertical="center"/>
    </xf>
    <xf numFmtId="167" fontId="0" fillId="13" borderId="9" xfId="0" applyNumberForma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0" fillId="4" borderId="9" xfId="0" applyFill="1" applyBorder="1"/>
    <xf numFmtId="164" fontId="17" fillId="4" borderId="9" xfId="0" applyNumberFormat="1" applyFont="1" applyFill="1" applyBorder="1" applyAlignment="1">
      <alignment horizontal="right" vertical="center"/>
    </xf>
    <xf numFmtId="165" fontId="17" fillId="4" borderId="9" xfId="0" applyNumberFormat="1" applyFont="1" applyFill="1" applyBorder="1" applyAlignment="1">
      <alignment horizontal="center" vertical="center"/>
    </xf>
    <xf numFmtId="3" fontId="17" fillId="4" borderId="9" xfId="0" applyNumberFormat="1" applyFont="1" applyFill="1" applyBorder="1" applyAlignment="1">
      <alignment horizontal="right" vertical="center"/>
    </xf>
    <xf numFmtId="0" fontId="16" fillId="10" borderId="9" xfId="0" applyFont="1" applyFill="1" applyBorder="1" applyAlignment="1">
      <alignment horizontal="center" vertical="center" wrapText="1"/>
    </xf>
    <xf numFmtId="3" fontId="15" fillId="0" borderId="9" xfId="0" applyNumberFormat="1" applyFont="1" applyBorder="1" applyAlignment="1">
      <alignment horizontal="right" vertical="center"/>
    </xf>
    <xf numFmtId="3" fontId="15" fillId="0" borderId="9" xfId="0" applyNumberFormat="1" applyFont="1" applyBorder="1" applyAlignment="1">
      <alignment horizontal="center" vertical="center"/>
    </xf>
    <xf numFmtId="1" fontId="17" fillId="17" borderId="9" xfId="0" applyNumberFormat="1" applyFont="1" applyFill="1" applyBorder="1" applyAlignment="1">
      <alignment horizontal="center" vertical="center"/>
    </xf>
    <xf numFmtId="3" fontId="0" fillId="14" borderId="9" xfId="0" applyNumberFormat="1" applyFill="1" applyBorder="1" applyAlignment="1">
      <alignment horizontal="right" vertical="center"/>
    </xf>
    <xf numFmtId="3" fontId="0" fillId="14" borderId="9" xfId="0" applyNumberFormat="1" applyFill="1" applyBorder="1" applyAlignment="1">
      <alignment horizontal="center" vertical="center"/>
    </xf>
    <xf numFmtId="1" fontId="17" fillId="18" borderId="9" xfId="0" applyNumberFormat="1" applyFont="1" applyFill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1" fontId="16" fillId="19" borderId="9" xfId="0" applyNumberFormat="1" applyFont="1" applyFill="1" applyBorder="1" applyAlignment="1">
      <alignment horizontal="center" vertical="center"/>
    </xf>
    <xf numFmtId="1" fontId="0" fillId="14" borderId="9" xfId="0" applyNumberFormat="1" applyFill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16" fillId="11" borderId="9" xfId="0" applyFont="1" applyFill="1" applyBorder="1" applyAlignment="1">
      <alignment horizontal="center" vertical="center" wrapText="1"/>
    </xf>
    <xf numFmtId="168" fontId="0" fillId="0" borderId="9" xfId="0" applyNumberFormat="1" applyBorder="1" applyAlignment="1">
      <alignment horizontal="right" vertical="center"/>
    </xf>
    <xf numFmtId="0" fontId="0" fillId="7" borderId="9" xfId="0" applyFill="1" applyBorder="1" applyAlignment="1">
      <alignment horizontal="center" vertical="center"/>
    </xf>
    <xf numFmtId="168" fontId="0" fillId="7" borderId="9" xfId="0" applyNumberFormat="1" applyFill="1" applyBorder="1" applyAlignment="1">
      <alignment horizontal="right" vertical="center"/>
    </xf>
    <xf numFmtId="0" fontId="1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0" fillId="7" borderId="8" xfId="0" applyFill="1" applyBorder="1"/>
    <xf numFmtId="0" fontId="0" fillId="8" borderId="8" xfId="0" applyFill="1" applyBorder="1"/>
    <xf numFmtId="0" fontId="11" fillId="4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0F4F0"/>
      <rgbColor rgb="FFFF00FF"/>
      <rgbColor rgb="FFFAFAFA"/>
      <rgbColor rgb="FF800000"/>
      <rgbColor rgb="FF008000"/>
      <rgbColor rgb="FF000080"/>
      <rgbColor rgb="FF808000"/>
      <rgbColor rgb="FF6A1B9A"/>
      <rgbColor rgb="FF217346"/>
      <rgbColor rgb="FFC0C0C0"/>
      <rgbColor rgb="FF878787"/>
      <rgbColor rgb="FFF3EAF9"/>
      <rgbColor rgb="FFEA4335"/>
      <rgbColor rgb="FFFFF9C4"/>
      <rgbColor rgb="FFE8F5E9"/>
      <rgbColor rgb="FF660066"/>
      <rgbColor rgb="FFCD7F32"/>
      <rgbColor rgb="FF0066CC"/>
      <rgbColor rgb="FFCCCCCC"/>
      <rgbColor rgb="FF000080"/>
      <rgbColor rgb="FFFF00FF"/>
      <rgbColor rgb="FFF9FBF9"/>
      <rgbColor rgb="FF00FFFF"/>
      <rgbColor rgb="FF800080"/>
      <rgbColor rgb="FF800000"/>
      <rgbColor rgb="FF008080"/>
      <rgbColor rgb="FF0000FF"/>
      <rgbColor rgb="FF00CCFF"/>
      <rgbColor rgb="FFEAF2FD"/>
      <rgbColor rgb="FFDCEDC8"/>
      <rgbColor rgb="FFFFF9E6"/>
      <rgbColor rgb="FFBDBDBD"/>
      <rgbColor rgb="FFFEE8E6"/>
      <rgbColor rgb="FFDDDDDD"/>
      <rgbColor rgb="FFD9D9D9"/>
      <rgbColor rgb="FF1A73E8"/>
      <rgbColor rgb="FFF9F9F9"/>
      <rgbColor rgb="FFEEF5FF"/>
      <rgbColor rgb="FFFFD700"/>
      <rgbColor rgb="FFD4A017"/>
      <rgbColor rgb="FFE65100"/>
      <rgbColor rgb="FF757575"/>
      <rgbColor rgb="FF999999"/>
      <rgbColor rgb="FF0D47A1"/>
      <rgbColor rgb="FF4F81BD"/>
      <rgbColor rgb="FF145230"/>
      <rgbColor rgb="FF333300"/>
      <rgbColor rgb="FF993300"/>
      <rgbColor rgb="FF993366"/>
      <rgbColor rgb="FF33339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CA Mensuel vs Objectif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'Résumé Mensuel'!$C$3</c:f>
              <c:strCache>
                <c:ptCount val="1"/>
                <c:pt idx="0">
                  <c:v>CA Total (MAD)</c:v>
                </c:pt>
              </c:strCache>
            </c:strRef>
          </c:tx>
          <c:spPr>
            <a:solidFill>
              <a:srgbClr val="2173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'Résumé Mensuel'!$A$4:$A$15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Aoû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'Résumé Mensuel'!$C$4:$C$15</c:f>
              <c:numCache>
                <c:formatCode>#,##0" MAD"</c:formatCode>
                <c:ptCount val="12"/>
                <c:pt idx="0">
                  <c:v>70464</c:v>
                </c:pt>
                <c:pt idx="1">
                  <c:v>76642</c:v>
                </c:pt>
                <c:pt idx="2">
                  <c:v>85718</c:v>
                </c:pt>
                <c:pt idx="3">
                  <c:v>91036</c:v>
                </c:pt>
                <c:pt idx="4">
                  <c:v>104024</c:v>
                </c:pt>
                <c:pt idx="5">
                  <c:v>95370</c:v>
                </c:pt>
                <c:pt idx="6">
                  <c:v>81520</c:v>
                </c:pt>
                <c:pt idx="7">
                  <c:v>75403</c:v>
                </c:pt>
                <c:pt idx="8">
                  <c:v>102438</c:v>
                </c:pt>
                <c:pt idx="9">
                  <c:v>111227</c:v>
                </c:pt>
                <c:pt idx="10">
                  <c:v>122978</c:v>
                </c:pt>
                <c:pt idx="11">
                  <c:v>134584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5-4FD8-86E0-E720A8B7EC0B}"/>
            </c:ext>
          </c:extLst>
        </c:ser>
        <c:ser>
          <c:idx val="1"/>
          <c:order val="1"/>
          <c:tx>
            <c:strRef>
              <c:f>'Résumé Mensuel'!$D$3</c:f>
              <c:strCache>
                <c:ptCount val="1"/>
                <c:pt idx="0">
                  <c:v>Objectif (MAD)</c:v>
                </c:pt>
              </c:strCache>
            </c:strRef>
          </c:tx>
          <c:spPr>
            <a:solidFill>
              <a:srgbClr val="BDBD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'Résumé Mensuel'!$A$4:$A$15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Aoû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'Résumé Mensuel'!$D$4:$D$15</c:f>
              <c:numCache>
                <c:formatCode>#,##0" MAD"</c:formatCode>
                <c:ptCount val="12"/>
                <c:pt idx="0">
                  <c:v>71122</c:v>
                </c:pt>
                <c:pt idx="1">
                  <c:v>78428</c:v>
                </c:pt>
                <c:pt idx="2">
                  <c:v>87312</c:v>
                </c:pt>
                <c:pt idx="3">
                  <c:v>94851</c:v>
                </c:pt>
                <c:pt idx="4">
                  <c:v>106437</c:v>
                </c:pt>
                <c:pt idx="5">
                  <c:v>97783</c:v>
                </c:pt>
                <c:pt idx="6">
                  <c:v>83862</c:v>
                </c:pt>
                <c:pt idx="7">
                  <c:v>77773</c:v>
                </c:pt>
                <c:pt idx="8">
                  <c:v>102597</c:v>
                </c:pt>
                <c:pt idx="9">
                  <c:v>113027</c:v>
                </c:pt>
                <c:pt idx="10">
                  <c:v>129637</c:v>
                </c:pt>
                <c:pt idx="11">
                  <c:v>140001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35-4FD8-86E0-E720A8B7E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268356"/>
        <c:axId val="22978832"/>
      </c:barChart>
      <c:catAx>
        <c:axId val="572683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2978832"/>
        <c:crosses val="autoZero"/>
        <c:auto val="1"/>
        <c:lblAlgn val="ctr"/>
        <c:lblOffset val="100"/>
        <c:noMultiLvlLbl val="0"/>
      </c:catAx>
      <c:valAx>
        <c:axId val="229788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MAD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72683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Part CA par Ville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'Analyse Villes'!$C$3</c:f>
              <c:strCache>
                <c:ptCount val="1"/>
                <c:pt idx="0">
                  <c:v>CA Total (MAD)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1734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E8BF-467C-A242-C0389F36CB9D}"/>
              </c:ext>
            </c:extLst>
          </c:dPt>
          <c:dPt>
            <c:idx val="1"/>
            <c:bubble3D val="0"/>
            <c:spPr>
              <a:solidFill>
                <a:srgbClr val="1A73E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E8BF-467C-A242-C0389F36CB9D}"/>
              </c:ext>
            </c:extLst>
          </c:dPt>
          <c:dPt>
            <c:idx val="2"/>
            <c:bubble3D val="0"/>
            <c:spPr>
              <a:solidFill>
                <a:srgbClr val="D4A01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E8BF-467C-A242-C0389F36CB9D}"/>
              </c:ext>
            </c:extLst>
          </c:dPt>
          <c:dPt>
            <c:idx val="3"/>
            <c:bubble3D val="0"/>
            <c:spPr>
              <a:solidFill>
                <a:srgbClr val="EA433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E8BF-467C-A242-C0389F36CB9D}"/>
              </c:ext>
            </c:extLst>
          </c:dPt>
          <c:dPt>
            <c:idx val="4"/>
            <c:bubble3D val="0"/>
            <c:spPr>
              <a:solidFill>
                <a:srgbClr val="6A1B9A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E8BF-467C-A242-C0389F36CB9D}"/>
              </c:ext>
            </c:extLst>
          </c:dPt>
          <c:dPt>
            <c:idx val="5"/>
            <c:bubble3D val="0"/>
            <c:spPr>
              <a:solidFill>
                <a:srgbClr val="E651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E8BF-467C-A242-C0389F36CB9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8BF-467C-A242-C0389F36CB9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E8BF-467C-A242-C0389F36CB9D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E8BF-467C-A242-C0389F36CB9D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E8BF-467C-A242-C0389F36CB9D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E8BF-467C-A242-C0389F36CB9D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E8BF-467C-A242-C0389F36CB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'Analyse Villes'!$A$4:$A$9</c:f>
              <c:strCache>
                <c:ptCount val="6"/>
                <c:pt idx="0">
                  <c:v>Casablanca</c:v>
                </c:pt>
                <c:pt idx="1">
                  <c:v>Rabat</c:v>
                </c:pt>
                <c:pt idx="2">
                  <c:v>Marrakech</c:v>
                </c:pt>
                <c:pt idx="3">
                  <c:v>Tanger</c:v>
                </c:pt>
                <c:pt idx="4">
                  <c:v>Fès</c:v>
                </c:pt>
                <c:pt idx="5">
                  <c:v>Agadir</c:v>
                </c:pt>
              </c:strCache>
            </c:strRef>
          </c:cat>
          <c:val>
            <c:numRef>
              <c:f>'Analyse Villes'!$C$4:$C$9</c:f>
              <c:numCache>
                <c:formatCode>#,##0" MAD"</c:formatCode>
                <c:ptCount val="6"/>
                <c:pt idx="0">
                  <c:v>304706</c:v>
                </c:pt>
                <c:pt idx="1">
                  <c:v>210454</c:v>
                </c:pt>
                <c:pt idx="2">
                  <c:v>172826</c:v>
                </c:pt>
                <c:pt idx="3">
                  <c:v>167290</c:v>
                </c:pt>
                <c:pt idx="4">
                  <c:v>157392</c:v>
                </c:pt>
                <c:pt idx="5">
                  <c:v>138736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8BF-467C-A242-C0389F36C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Chiffre d'Affaires Mensuel (MAD)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'Résumé Mensuel'!$C$3</c:f>
              <c:strCache>
                <c:ptCount val="1"/>
                <c:pt idx="0">
                  <c:v>CA Total (MAD)</c:v>
                </c:pt>
              </c:strCache>
            </c:strRef>
          </c:tx>
          <c:spPr>
            <a:solidFill>
              <a:srgbClr val="217346"/>
            </a:solidFill>
            <a:ln w="9360">
              <a:solidFill>
                <a:srgbClr val="14523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'Résumé Mensuel'!$A$4:$A$15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Aoû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'Résumé Mensuel'!$C$4:$C$15</c:f>
              <c:numCache>
                <c:formatCode>#,##0" MAD"</c:formatCode>
                <c:ptCount val="12"/>
                <c:pt idx="0">
                  <c:v>70464</c:v>
                </c:pt>
                <c:pt idx="1">
                  <c:v>76642</c:v>
                </c:pt>
                <c:pt idx="2">
                  <c:v>85718</c:v>
                </c:pt>
                <c:pt idx="3">
                  <c:v>91036</c:v>
                </c:pt>
                <c:pt idx="4">
                  <c:v>104024</c:v>
                </c:pt>
                <c:pt idx="5">
                  <c:v>95370</c:v>
                </c:pt>
                <c:pt idx="6">
                  <c:v>81520</c:v>
                </c:pt>
                <c:pt idx="7">
                  <c:v>75403</c:v>
                </c:pt>
                <c:pt idx="8">
                  <c:v>102438</c:v>
                </c:pt>
                <c:pt idx="9">
                  <c:v>111227</c:v>
                </c:pt>
                <c:pt idx="10">
                  <c:v>122978</c:v>
                </c:pt>
                <c:pt idx="11">
                  <c:v>134584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3-4045-A4F6-C50F000B2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172375"/>
        <c:axId val="93897519"/>
      </c:barChart>
      <c:catAx>
        <c:axId val="441723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3897519"/>
        <c:crosses val="autoZero"/>
        <c:auto val="1"/>
        <c:lblAlgn val="ctr"/>
        <c:lblOffset val="100"/>
        <c:noMultiLvlLbl val="0"/>
      </c:catAx>
      <c:valAx>
        <c:axId val="938975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 (MAD)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MAD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41723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CA Cumulé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'Résumé Mensuel'!$G$3</c:f>
              <c:strCache>
                <c:ptCount val="1"/>
                <c:pt idx="0">
                  <c:v>CA Cumulé (MAD)</c:v>
                </c:pt>
              </c:strCache>
            </c:strRef>
          </c:tx>
          <c:spPr>
            <a:ln w="28440">
              <a:solidFill>
                <a:srgbClr val="1A73E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'Résumé Mensuel'!$A$4:$A$15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Aoû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'Résumé Mensuel'!$G$4:$G$15</c:f>
              <c:numCache>
                <c:formatCode>#,##0" MAD"</c:formatCode>
                <c:ptCount val="12"/>
                <c:pt idx="0">
                  <c:v>70464</c:v>
                </c:pt>
                <c:pt idx="1">
                  <c:v>147106</c:v>
                </c:pt>
                <c:pt idx="2">
                  <c:v>232824</c:v>
                </c:pt>
                <c:pt idx="3">
                  <c:v>323860</c:v>
                </c:pt>
                <c:pt idx="4">
                  <c:v>427884</c:v>
                </c:pt>
                <c:pt idx="5">
                  <c:v>523254</c:v>
                </c:pt>
                <c:pt idx="6">
                  <c:v>604774</c:v>
                </c:pt>
                <c:pt idx="7">
                  <c:v>680177</c:v>
                </c:pt>
                <c:pt idx="8">
                  <c:v>782615</c:v>
                </c:pt>
                <c:pt idx="9">
                  <c:v>893842</c:v>
                </c:pt>
                <c:pt idx="10">
                  <c:v>1016820</c:v>
                </c:pt>
                <c:pt idx="11">
                  <c:v>1151404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69-4734-909C-15845F37F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8592797"/>
        <c:axId val="31987147"/>
      </c:lineChart>
      <c:catAx>
        <c:axId val="685927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1987147"/>
        <c:crosses val="autoZero"/>
        <c:auto val="1"/>
        <c:lblAlgn val="ctr"/>
        <c:lblOffset val="100"/>
        <c:noMultiLvlLbl val="0"/>
      </c:catAx>
      <c:valAx>
        <c:axId val="319871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 Cumulé (MAD)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MAD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85927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Répartition CA par Ville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'Analyse Villes'!$C$3</c:f>
              <c:strCache>
                <c:ptCount val="1"/>
                <c:pt idx="0">
                  <c:v>CA Total (MAD)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1734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91D4-47F1-B988-CF08F85C9137}"/>
              </c:ext>
            </c:extLst>
          </c:dPt>
          <c:dPt>
            <c:idx val="1"/>
            <c:bubble3D val="0"/>
            <c:spPr>
              <a:solidFill>
                <a:srgbClr val="1A73E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91D4-47F1-B988-CF08F85C9137}"/>
              </c:ext>
            </c:extLst>
          </c:dPt>
          <c:dPt>
            <c:idx val="2"/>
            <c:bubble3D val="0"/>
            <c:spPr>
              <a:solidFill>
                <a:srgbClr val="D4A01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91D4-47F1-B988-CF08F85C9137}"/>
              </c:ext>
            </c:extLst>
          </c:dPt>
          <c:dPt>
            <c:idx val="3"/>
            <c:bubble3D val="0"/>
            <c:spPr>
              <a:solidFill>
                <a:srgbClr val="EA433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91D4-47F1-B988-CF08F85C9137}"/>
              </c:ext>
            </c:extLst>
          </c:dPt>
          <c:dPt>
            <c:idx val="4"/>
            <c:bubble3D val="0"/>
            <c:spPr>
              <a:solidFill>
                <a:srgbClr val="6A1B9A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91D4-47F1-B988-CF08F85C9137}"/>
              </c:ext>
            </c:extLst>
          </c:dPt>
          <c:dPt>
            <c:idx val="5"/>
            <c:bubble3D val="0"/>
            <c:spPr>
              <a:solidFill>
                <a:srgbClr val="E651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91D4-47F1-B988-CF08F85C913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91D4-47F1-B988-CF08F85C913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91D4-47F1-B988-CF08F85C913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91D4-47F1-B988-CF08F85C913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91D4-47F1-B988-CF08F85C9137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91D4-47F1-B988-CF08F85C9137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91D4-47F1-B988-CF08F85C91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'Analyse Villes'!$A$4:$A$9</c:f>
              <c:strCache>
                <c:ptCount val="6"/>
                <c:pt idx="0">
                  <c:v>Casablanca</c:v>
                </c:pt>
                <c:pt idx="1">
                  <c:v>Rabat</c:v>
                </c:pt>
                <c:pt idx="2">
                  <c:v>Marrakech</c:v>
                </c:pt>
                <c:pt idx="3">
                  <c:v>Tanger</c:v>
                </c:pt>
                <c:pt idx="4">
                  <c:v>Fès</c:v>
                </c:pt>
                <c:pt idx="5">
                  <c:v>Agadir</c:v>
                </c:pt>
              </c:strCache>
            </c:strRef>
          </c:cat>
          <c:val>
            <c:numRef>
              <c:f>'Analyse Villes'!$C$4:$C$9</c:f>
              <c:numCache>
                <c:formatCode>#,##0" MAD"</c:formatCode>
                <c:ptCount val="6"/>
                <c:pt idx="0">
                  <c:v>304706</c:v>
                </c:pt>
                <c:pt idx="1">
                  <c:v>210454</c:v>
                </c:pt>
                <c:pt idx="2">
                  <c:v>172826</c:v>
                </c:pt>
                <c:pt idx="3">
                  <c:v>167290</c:v>
                </c:pt>
                <c:pt idx="4">
                  <c:v>157392</c:v>
                </c:pt>
                <c:pt idx="5">
                  <c:v>138736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1D4-47F1-B988-CF08F85C9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CA par Produit (MAD)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'Analyse Produits'!$D$3</c:f>
              <c:strCache>
                <c:ptCount val="1"/>
                <c:pt idx="0">
                  <c:v>CA Total (MAD)</c:v>
                </c:pt>
              </c:strCache>
            </c:strRef>
          </c:tx>
          <c:spPr>
            <a:solidFill>
              <a:srgbClr val="6A1B9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'Analyse Produits'!$A$4:$A$9</c:f>
              <c:strCache>
                <c:ptCount val="6"/>
                <c:pt idx="0">
                  <c:v>Rame Papier</c:v>
                </c:pt>
                <c:pt idx="1">
                  <c:v>Classeur</c:v>
                </c:pt>
                <c:pt idx="2">
                  <c:v>Cahier A4</c:v>
                </c:pt>
                <c:pt idx="3">
                  <c:v>Marqueur</c:v>
                </c:pt>
                <c:pt idx="4">
                  <c:v>Stylo Bille</c:v>
                </c:pt>
                <c:pt idx="5">
                  <c:v>Règle</c:v>
                </c:pt>
              </c:strCache>
            </c:strRef>
          </c:cat>
          <c:val>
            <c:numRef>
              <c:f>'Analyse Produits'!$D$4:$D$9</c:f>
              <c:numCache>
                <c:formatCode>#,##0" MAD"</c:formatCode>
                <c:ptCount val="6"/>
                <c:pt idx="0">
                  <c:v>469392</c:v>
                </c:pt>
                <c:pt idx="1">
                  <c:v>211785</c:v>
                </c:pt>
                <c:pt idx="2">
                  <c:v>198902</c:v>
                </c:pt>
                <c:pt idx="3">
                  <c:v>114240</c:v>
                </c:pt>
                <c:pt idx="4">
                  <c:v>95226</c:v>
                </c:pt>
                <c:pt idx="5">
                  <c:v>61860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B-438D-B1ED-D4FB60B17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495925"/>
        <c:axId val="30981788"/>
      </c:barChart>
      <c:catAx>
        <c:axId val="3549592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 (MAD)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0981788"/>
        <c:crosses val="autoZero"/>
        <c:auto val="1"/>
        <c:lblAlgn val="ctr"/>
        <c:lblOffset val="100"/>
        <c:noMultiLvlLbl val="0"/>
      </c:catAx>
      <c:valAx>
        <c:axId val="3098178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Produit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MAD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54959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8</xdr:col>
      <xdr:colOff>292320</xdr:colOff>
      <xdr:row>48</xdr:row>
      <xdr:rowOff>69480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25</xdr:row>
      <xdr:rowOff>0</xdr:rowOff>
    </xdr:from>
    <xdr:to>
      <xdr:col>12</xdr:col>
      <xdr:colOff>825480</xdr:colOff>
      <xdr:row>48</xdr:row>
      <xdr:rowOff>69480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19</xdr:col>
      <xdr:colOff>364680</xdr:colOff>
      <xdr:row>23</xdr:row>
      <xdr:rowOff>71280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24</xdr:row>
      <xdr:rowOff>0</xdr:rowOff>
    </xdr:from>
    <xdr:to>
      <xdr:col>19</xdr:col>
      <xdr:colOff>364680</xdr:colOff>
      <xdr:row>42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0</xdr:rowOff>
    </xdr:from>
    <xdr:to>
      <xdr:col>19</xdr:col>
      <xdr:colOff>256320</xdr:colOff>
      <xdr:row>27</xdr:row>
      <xdr:rowOff>29520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0</xdr:rowOff>
    </xdr:from>
    <xdr:to>
      <xdr:col>20</xdr:col>
      <xdr:colOff>364680</xdr:colOff>
      <xdr:row>26</xdr:row>
      <xdr:rowOff>153360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17346"/>
  </sheetPr>
  <dimension ref="B1:N2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4.4" x14ac:dyDescent="0.3"/>
  <cols>
    <col min="1" max="1" width="2" customWidth="1"/>
    <col min="2" max="14" width="14" customWidth="1"/>
  </cols>
  <sheetData>
    <row r="1" spans="2:14" ht="19.5" customHeight="1" x14ac:dyDescent="0.3"/>
    <row r="2" spans="2:14" ht="37.5" customHeight="1" x14ac:dyDescent="0.3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2:14" ht="19.5" customHeight="1" x14ac:dyDescent="0.3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2:14" ht="19.5" customHeight="1" x14ac:dyDescent="0.3">
      <c r="B4" s="13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2:14" ht="19.5" customHeight="1" x14ac:dyDescent="0.3"/>
    <row r="6" spans="2:14" ht="27.75" customHeight="1" x14ac:dyDescent="0.3">
      <c r="B6" s="12" t="s">
        <v>2</v>
      </c>
      <c r="C6" s="12"/>
      <c r="D6" s="11" t="s">
        <v>3</v>
      </c>
      <c r="E6" s="11"/>
      <c r="F6" s="10" t="s">
        <v>4</v>
      </c>
      <c r="G6" s="10"/>
      <c r="H6" s="9" t="s">
        <v>5</v>
      </c>
      <c r="I6" s="9"/>
      <c r="J6" s="8" t="s">
        <v>6</v>
      </c>
      <c r="K6" s="8"/>
      <c r="L6" s="7" t="s">
        <v>7</v>
      </c>
      <c r="M6" s="7"/>
    </row>
    <row r="7" spans="2:14" ht="19.5" customHeight="1" x14ac:dyDescent="0.3">
      <c r="B7" s="6" t="s">
        <v>8</v>
      </c>
      <c r="C7" s="6"/>
      <c r="D7" s="5" t="s">
        <v>9</v>
      </c>
      <c r="E7" s="5"/>
      <c r="F7" s="4" t="s">
        <v>10</v>
      </c>
      <c r="G7" s="4"/>
      <c r="H7" s="3" t="s">
        <v>11</v>
      </c>
      <c r="I7" s="3"/>
      <c r="J7" s="2" t="s">
        <v>12</v>
      </c>
      <c r="K7" s="2"/>
      <c r="L7" s="6" t="s">
        <v>13</v>
      </c>
      <c r="M7" s="6"/>
    </row>
    <row r="8" spans="2:14" ht="27.75" customHeight="1" x14ac:dyDescent="0.3">
      <c r="B8" s="1" t="s">
        <v>14</v>
      </c>
      <c r="C8" s="1"/>
      <c r="D8" s="79" t="s">
        <v>15</v>
      </c>
      <c r="E8" s="79"/>
      <c r="F8" s="80" t="s">
        <v>16</v>
      </c>
      <c r="G8" s="80"/>
      <c r="H8" s="81" t="s">
        <v>17</v>
      </c>
      <c r="I8" s="81"/>
      <c r="J8" s="82" t="s">
        <v>18</v>
      </c>
      <c r="K8" s="82"/>
      <c r="L8" s="83" t="s">
        <v>19</v>
      </c>
      <c r="M8" s="83"/>
    </row>
    <row r="9" spans="2:14" ht="19.5" customHeight="1" x14ac:dyDescent="0.3">
      <c r="B9" s="84"/>
      <c r="C9" s="84"/>
      <c r="D9" s="85"/>
      <c r="E9" s="85"/>
      <c r="F9" s="86"/>
      <c r="G9" s="86"/>
      <c r="H9" s="87"/>
      <c r="I9" s="87"/>
      <c r="J9" s="88"/>
      <c r="K9" s="88"/>
      <c r="L9" s="84"/>
      <c r="M9" s="84"/>
    </row>
    <row r="10" spans="2:14" ht="19.5" customHeight="1" x14ac:dyDescent="0.3"/>
    <row r="11" spans="2:14" ht="19.5" customHeight="1" x14ac:dyDescent="0.3">
      <c r="B11" s="89" t="s">
        <v>20</v>
      </c>
      <c r="C11" s="89"/>
      <c r="D11" s="89"/>
      <c r="E11" s="89"/>
      <c r="G11" s="90" t="s">
        <v>21</v>
      </c>
      <c r="H11" s="90"/>
      <c r="I11" s="90"/>
      <c r="J11" s="90"/>
      <c r="K11" s="91" t="s">
        <v>22</v>
      </c>
      <c r="L11" s="91"/>
      <c r="M11" s="91"/>
      <c r="N11" s="91"/>
    </row>
    <row r="12" spans="2:14" ht="21.75" customHeight="1" x14ac:dyDescent="0.3">
      <c r="B12" s="15" t="s">
        <v>23</v>
      </c>
      <c r="C12" s="15" t="s">
        <v>24</v>
      </c>
      <c r="D12" s="15" t="s">
        <v>25</v>
      </c>
      <c r="E12" s="15" t="s">
        <v>26</v>
      </c>
      <c r="G12" s="16" t="s">
        <v>27</v>
      </c>
      <c r="H12" s="16" t="s">
        <v>24</v>
      </c>
      <c r="I12" s="16" t="s">
        <v>28</v>
      </c>
      <c r="J12" s="16" t="s">
        <v>29</v>
      </c>
      <c r="K12" s="17" t="s">
        <v>30</v>
      </c>
      <c r="L12" s="17" t="s">
        <v>24</v>
      </c>
      <c r="M12" s="17" t="s">
        <v>31</v>
      </c>
      <c r="N12" s="17" t="s">
        <v>32</v>
      </c>
    </row>
    <row r="13" spans="2:14" ht="19.5" customHeight="1" x14ac:dyDescent="0.3">
      <c r="B13" s="18" t="s">
        <v>33</v>
      </c>
      <c r="C13" s="19">
        <v>70464</v>
      </c>
      <c r="D13" s="19">
        <v>71122</v>
      </c>
      <c r="E13" s="20">
        <v>0.99074566136419195</v>
      </c>
      <c r="G13" s="21" t="s">
        <v>19</v>
      </c>
      <c r="H13" s="22">
        <v>304706</v>
      </c>
      <c r="I13" s="23">
        <v>0.26463810068485899</v>
      </c>
      <c r="J13" s="24" t="s">
        <v>34</v>
      </c>
      <c r="K13" s="25" t="s">
        <v>35</v>
      </c>
      <c r="L13" s="19">
        <v>469392</v>
      </c>
      <c r="M13" s="26">
        <v>9779</v>
      </c>
      <c r="N13" s="27">
        <v>0.40766906851588702</v>
      </c>
    </row>
    <row r="14" spans="2:14" ht="19.5" customHeight="1" x14ac:dyDescent="0.3">
      <c r="B14" s="28" t="s">
        <v>36</v>
      </c>
      <c r="C14" s="29">
        <v>76642</v>
      </c>
      <c r="D14" s="29">
        <v>78428</v>
      </c>
      <c r="E14" s="20">
        <v>0.97722931258224199</v>
      </c>
      <c r="G14" s="30" t="s">
        <v>37</v>
      </c>
      <c r="H14" s="31">
        <v>210454</v>
      </c>
      <c r="I14" s="32">
        <v>0.182779813697098</v>
      </c>
      <c r="J14" s="33" t="s">
        <v>38</v>
      </c>
      <c r="K14" s="34" t="s">
        <v>39</v>
      </c>
      <c r="L14" s="35">
        <v>211785</v>
      </c>
      <c r="M14" s="36">
        <v>6051</v>
      </c>
      <c r="N14" s="37">
        <v>0.18393622745090901</v>
      </c>
    </row>
    <row r="15" spans="2:14" ht="19.5" customHeight="1" x14ac:dyDescent="0.3">
      <c r="B15" s="18" t="s">
        <v>40</v>
      </c>
      <c r="C15" s="19">
        <v>85718</v>
      </c>
      <c r="D15" s="19">
        <v>87312</v>
      </c>
      <c r="E15" s="20">
        <v>0.98174594613372601</v>
      </c>
      <c r="G15" s="25" t="s">
        <v>41</v>
      </c>
      <c r="H15" s="19">
        <v>172826</v>
      </c>
      <c r="I15" s="27">
        <v>0.15010059453476199</v>
      </c>
      <c r="J15" s="18" t="s">
        <v>42</v>
      </c>
      <c r="K15" s="25" t="s">
        <v>43</v>
      </c>
      <c r="L15" s="19">
        <v>198902</v>
      </c>
      <c r="M15" s="26">
        <v>9041</v>
      </c>
      <c r="N15" s="27">
        <v>0.172747283860711</v>
      </c>
    </row>
    <row r="16" spans="2:14" ht="19.5" customHeight="1" x14ac:dyDescent="0.3">
      <c r="B16" s="28" t="s">
        <v>44</v>
      </c>
      <c r="C16" s="29">
        <v>91036</v>
      </c>
      <c r="D16" s="29">
        <v>94851</v>
      </c>
      <c r="E16" s="20">
        <v>0.95977284608329205</v>
      </c>
      <c r="G16" s="30" t="s">
        <v>45</v>
      </c>
      <c r="H16" s="31">
        <v>167290</v>
      </c>
      <c r="I16" s="32">
        <v>0.14529211932036101</v>
      </c>
      <c r="J16" s="33" t="s">
        <v>46</v>
      </c>
      <c r="K16" s="34" t="s">
        <v>47</v>
      </c>
      <c r="L16" s="35">
        <v>114240</v>
      </c>
      <c r="M16" s="36">
        <v>7616</v>
      </c>
      <c r="N16" s="37">
        <v>9.9217955114818498E-2</v>
      </c>
    </row>
    <row r="17" spans="2:14" ht="19.5" customHeight="1" x14ac:dyDescent="0.3">
      <c r="B17" s="18" t="s">
        <v>48</v>
      </c>
      <c r="C17" s="19">
        <v>104024</v>
      </c>
      <c r="D17" s="19">
        <v>106437</v>
      </c>
      <c r="E17" s="20">
        <v>0.97733780205270604</v>
      </c>
      <c r="G17" s="25" t="s">
        <v>49</v>
      </c>
      <c r="H17" s="19">
        <v>157392</v>
      </c>
      <c r="I17" s="27">
        <v>0.136696095941956</v>
      </c>
      <c r="J17" s="18" t="s">
        <v>50</v>
      </c>
      <c r="K17" s="25" t="s">
        <v>51</v>
      </c>
      <c r="L17" s="19">
        <v>95226</v>
      </c>
      <c r="M17" s="26">
        <v>11203</v>
      </c>
      <c r="N17" s="27">
        <v>8.2703776127329695E-2</v>
      </c>
    </row>
    <row r="18" spans="2:14" ht="19.5" customHeight="1" x14ac:dyDescent="0.3">
      <c r="B18" s="28" t="s">
        <v>52</v>
      </c>
      <c r="C18" s="29">
        <v>95370</v>
      </c>
      <c r="D18" s="29">
        <v>97783</v>
      </c>
      <c r="E18" s="20">
        <v>0.97531480262859205</v>
      </c>
      <c r="G18" s="30" t="s">
        <v>53</v>
      </c>
      <c r="H18" s="31">
        <v>138736</v>
      </c>
      <c r="I18" s="32">
        <v>0.120493275820965</v>
      </c>
      <c r="J18" s="33" t="s">
        <v>54</v>
      </c>
      <c r="K18" s="34" t="s">
        <v>55</v>
      </c>
      <c r="L18" s="35">
        <v>61860</v>
      </c>
      <c r="M18" s="36">
        <v>5155</v>
      </c>
      <c r="N18" s="37">
        <v>5.3725688930345503E-2</v>
      </c>
    </row>
    <row r="19" spans="2:14" ht="19.5" customHeight="1" x14ac:dyDescent="0.3">
      <c r="B19" s="18" t="s">
        <v>56</v>
      </c>
      <c r="C19" s="19">
        <v>81520</v>
      </c>
      <c r="D19" s="19">
        <v>83862</v>
      </c>
      <c r="E19" s="20">
        <v>0.97206857558677895</v>
      </c>
    </row>
    <row r="20" spans="2:14" ht="19.5" customHeight="1" x14ac:dyDescent="0.3">
      <c r="B20" s="28" t="s">
        <v>57</v>
      </c>
      <c r="C20" s="29">
        <v>75403</v>
      </c>
      <c r="D20" s="29">
        <v>77773</v>
      </c>
      <c r="E20" s="20">
        <v>0.96952421807665201</v>
      </c>
    </row>
    <row r="21" spans="2:14" ht="19.5" customHeight="1" x14ac:dyDescent="0.3">
      <c r="B21" s="18" t="s">
        <v>58</v>
      </c>
      <c r="C21" s="19">
        <v>102438</v>
      </c>
      <c r="D21" s="19">
        <v>102597</v>
      </c>
      <c r="E21" s="20">
        <v>0.99844942990982499</v>
      </c>
    </row>
    <row r="22" spans="2:14" ht="19.5" customHeight="1" x14ac:dyDescent="0.3">
      <c r="B22" s="28" t="s">
        <v>59</v>
      </c>
      <c r="C22" s="29">
        <v>111227</v>
      </c>
      <c r="D22" s="29">
        <v>113027</v>
      </c>
      <c r="E22" s="20">
        <v>0.98407352645076296</v>
      </c>
    </row>
    <row r="23" spans="2:14" ht="19.5" customHeight="1" x14ac:dyDescent="0.3">
      <c r="B23" s="18" t="s">
        <v>60</v>
      </c>
      <c r="C23" s="19">
        <v>122978</v>
      </c>
      <c r="D23" s="19">
        <v>129637</v>
      </c>
      <c r="E23" s="38">
        <v>0.94863837827405595</v>
      </c>
    </row>
    <row r="24" spans="2:14" ht="19.5" customHeight="1" x14ac:dyDescent="0.3">
      <c r="B24" s="28" t="s">
        <v>61</v>
      </c>
      <c r="C24" s="29">
        <v>134584</v>
      </c>
      <c r="D24" s="29">
        <v>140001</v>
      </c>
      <c r="E24" s="20">
        <v>0.96131372618764699</v>
      </c>
    </row>
    <row r="25" spans="2:14" ht="19.5" customHeight="1" x14ac:dyDescent="0.3"/>
    <row r="26" spans="2:14" ht="19.5" customHeight="1" x14ac:dyDescent="0.3"/>
    <row r="27" spans="2:14" ht="19.5" customHeight="1" x14ac:dyDescent="0.3"/>
    <row r="28" spans="2:14" ht="19.5" customHeight="1" x14ac:dyDescent="0.3"/>
    <row r="29" spans="2:14" ht="19.5" customHeight="1" x14ac:dyDescent="0.3"/>
  </sheetData>
  <mergeCells count="29">
    <mergeCell ref="L9:M9"/>
    <mergeCell ref="B11:E11"/>
    <mergeCell ref="G11:J11"/>
    <mergeCell ref="K11:N11"/>
    <mergeCell ref="B9:C9"/>
    <mergeCell ref="D9:E9"/>
    <mergeCell ref="F9:G9"/>
    <mergeCell ref="H9:I9"/>
    <mergeCell ref="J9:K9"/>
    <mergeCell ref="L7:M7"/>
    <mergeCell ref="B8:C8"/>
    <mergeCell ref="D8:E8"/>
    <mergeCell ref="F8:G8"/>
    <mergeCell ref="H8:I8"/>
    <mergeCell ref="J8:K8"/>
    <mergeCell ref="L8:M8"/>
    <mergeCell ref="B7:C7"/>
    <mergeCell ref="D7:E7"/>
    <mergeCell ref="F7:G7"/>
    <mergeCell ref="H7:I7"/>
    <mergeCell ref="J7:K7"/>
    <mergeCell ref="B2:N3"/>
    <mergeCell ref="B4:N4"/>
    <mergeCell ref="B6:C6"/>
    <mergeCell ref="D6:E6"/>
    <mergeCell ref="F6:G6"/>
    <mergeCell ref="H6:I6"/>
    <mergeCell ref="J6:K6"/>
    <mergeCell ref="L6:M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57575"/>
  </sheetPr>
  <dimension ref="A1:L433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6" customWidth="1"/>
    <col min="2" max="2" width="8" customWidth="1"/>
    <col min="3" max="3" width="9" customWidth="1"/>
    <col min="4" max="4" width="15" customWidth="1"/>
    <col min="5" max="5" width="20" customWidth="1"/>
    <col min="6" max="6" width="15" customWidth="1"/>
    <col min="7" max="7" width="12" customWidth="1"/>
    <col min="8" max="8" width="16" customWidth="1"/>
    <col min="9" max="9" width="11" customWidth="1"/>
    <col min="10" max="11" width="16" customWidth="1"/>
    <col min="12" max="12" width="14" customWidth="1"/>
  </cols>
  <sheetData>
    <row r="1" spans="1:12" ht="34.5" customHeight="1" x14ac:dyDescent="0.3">
      <c r="A1" s="39" t="s">
        <v>62</v>
      </c>
      <c r="B1" s="39" t="s">
        <v>23</v>
      </c>
      <c r="C1" s="39" t="s">
        <v>63</v>
      </c>
      <c r="D1" s="39" t="s">
        <v>27</v>
      </c>
      <c r="E1" s="39" t="s">
        <v>64</v>
      </c>
      <c r="F1" s="39" t="s">
        <v>30</v>
      </c>
      <c r="G1" s="39" t="s">
        <v>65</v>
      </c>
      <c r="H1" s="39" t="s">
        <v>66</v>
      </c>
      <c r="I1" s="39" t="s">
        <v>67</v>
      </c>
      <c r="J1" s="39" t="s">
        <v>24</v>
      </c>
      <c r="K1" s="39" t="s">
        <v>68</v>
      </c>
      <c r="L1" s="39" t="s">
        <v>10</v>
      </c>
    </row>
    <row r="2" spans="1:12" x14ac:dyDescent="0.3">
      <c r="A2" s="18">
        <v>1</v>
      </c>
      <c r="B2" s="25" t="s">
        <v>33</v>
      </c>
      <c r="C2" s="18">
        <v>1</v>
      </c>
      <c r="D2" s="25" t="s">
        <v>19</v>
      </c>
      <c r="E2" s="25" t="s">
        <v>69</v>
      </c>
      <c r="F2" s="25" t="s">
        <v>51</v>
      </c>
      <c r="G2" s="25" t="s">
        <v>70</v>
      </c>
      <c r="H2" s="40">
        <v>8.5</v>
      </c>
      <c r="I2" s="25">
        <v>196</v>
      </c>
      <c r="J2" s="40">
        <f t="shared" ref="J2:J65" si="0">H2*I2</f>
        <v>1666</v>
      </c>
      <c r="K2" s="40">
        <v>1510</v>
      </c>
      <c r="L2" s="27">
        <f t="shared" ref="L2:L65" si="1">J2/K2</f>
        <v>1.1033112582781457</v>
      </c>
    </row>
    <row r="3" spans="1:12" x14ac:dyDescent="0.3">
      <c r="A3" s="41">
        <v>2</v>
      </c>
      <c r="B3" s="42" t="s">
        <v>33</v>
      </c>
      <c r="C3" s="41">
        <v>1</v>
      </c>
      <c r="D3" s="42" t="s">
        <v>19</v>
      </c>
      <c r="E3" s="42" t="s">
        <v>69</v>
      </c>
      <c r="F3" s="42" t="s">
        <v>43</v>
      </c>
      <c r="G3" s="42" t="s">
        <v>71</v>
      </c>
      <c r="H3" s="43">
        <v>22</v>
      </c>
      <c r="I3" s="42">
        <v>140</v>
      </c>
      <c r="J3" s="43">
        <f t="shared" si="0"/>
        <v>3080</v>
      </c>
      <c r="K3" s="43">
        <v>2944</v>
      </c>
      <c r="L3" s="44">
        <f t="shared" si="1"/>
        <v>1.0461956521739131</v>
      </c>
    </row>
    <row r="4" spans="1:12" x14ac:dyDescent="0.3">
      <c r="A4" s="18">
        <v>3</v>
      </c>
      <c r="B4" s="25" t="s">
        <v>33</v>
      </c>
      <c r="C4" s="18">
        <v>1</v>
      </c>
      <c r="D4" s="25" t="s">
        <v>19</v>
      </c>
      <c r="E4" s="25" t="s">
        <v>69</v>
      </c>
      <c r="F4" s="25" t="s">
        <v>39</v>
      </c>
      <c r="G4" s="25" t="s">
        <v>72</v>
      </c>
      <c r="H4" s="40">
        <v>35</v>
      </c>
      <c r="I4" s="25">
        <v>107</v>
      </c>
      <c r="J4" s="40">
        <f t="shared" si="0"/>
        <v>3745</v>
      </c>
      <c r="K4" s="40">
        <v>4004</v>
      </c>
      <c r="L4" s="27">
        <f t="shared" si="1"/>
        <v>0.93531468531468531</v>
      </c>
    </row>
    <row r="5" spans="1:12" x14ac:dyDescent="0.3">
      <c r="A5" s="41">
        <v>4</v>
      </c>
      <c r="B5" s="42" t="s">
        <v>33</v>
      </c>
      <c r="C5" s="41">
        <v>1</v>
      </c>
      <c r="D5" s="42" t="s">
        <v>19</v>
      </c>
      <c r="E5" s="42" t="s">
        <v>69</v>
      </c>
      <c r="F5" s="42" t="s">
        <v>47</v>
      </c>
      <c r="G5" s="42" t="s">
        <v>70</v>
      </c>
      <c r="H5" s="43">
        <v>15</v>
      </c>
      <c r="I5" s="42">
        <v>140</v>
      </c>
      <c r="J5" s="43">
        <f t="shared" si="0"/>
        <v>2100</v>
      </c>
      <c r="K5" s="43">
        <v>1936</v>
      </c>
      <c r="L5" s="44">
        <f t="shared" si="1"/>
        <v>1.084710743801653</v>
      </c>
    </row>
    <row r="6" spans="1:12" x14ac:dyDescent="0.3">
      <c r="A6" s="18">
        <v>5</v>
      </c>
      <c r="B6" s="25" t="s">
        <v>33</v>
      </c>
      <c r="C6" s="18">
        <v>1</v>
      </c>
      <c r="D6" s="25" t="s">
        <v>19</v>
      </c>
      <c r="E6" s="25" t="s">
        <v>69</v>
      </c>
      <c r="F6" s="25" t="s">
        <v>35</v>
      </c>
      <c r="G6" s="25" t="s">
        <v>71</v>
      </c>
      <c r="H6" s="40">
        <v>48</v>
      </c>
      <c r="I6" s="25">
        <v>159</v>
      </c>
      <c r="J6" s="40">
        <f t="shared" si="0"/>
        <v>7632</v>
      </c>
      <c r="K6" s="40">
        <v>6926</v>
      </c>
      <c r="L6" s="27">
        <f t="shared" si="1"/>
        <v>1.1019347386658966</v>
      </c>
    </row>
    <row r="7" spans="1:12" x14ac:dyDescent="0.3">
      <c r="A7" s="41">
        <v>6</v>
      </c>
      <c r="B7" s="42" t="s">
        <v>33</v>
      </c>
      <c r="C7" s="41">
        <v>1</v>
      </c>
      <c r="D7" s="42" t="s">
        <v>19</v>
      </c>
      <c r="E7" s="42" t="s">
        <v>69</v>
      </c>
      <c r="F7" s="42" t="s">
        <v>55</v>
      </c>
      <c r="G7" s="42" t="s">
        <v>73</v>
      </c>
      <c r="H7" s="43">
        <v>12</v>
      </c>
      <c r="I7" s="42">
        <v>80</v>
      </c>
      <c r="J7" s="43">
        <f t="shared" si="0"/>
        <v>960</v>
      </c>
      <c r="K7" s="43">
        <v>985</v>
      </c>
      <c r="L7" s="44">
        <f t="shared" si="1"/>
        <v>0.97461928934010156</v>
      </c>
    </row>
    <row r="8" spans="1:12" x14ac:dyDescent="0.3">
      <c r="A8" s="18">
        <v>7</v>
      </c>
      <c r="B8" s="25" t="s">
        <v>33</v>
      </c>
      <c r="C8" s="18">
        <v>1</v>
      </c>
      <c r="D8" s="25" t="s">
        <v>37</v>
      </c>
      <c r="E8" s="25" t="s">
        <v>74</v>
      </c>
      <c r="F8" s="25" t="s">
        <v>51</v>
      </c>
      <c r="G8" s="25" t="s">
        <v>70</v>
      </c>
      <c r="H8" s="40">
        <v>8.5</v>
      </c>
      <c r="I8" s="25">
        <v>108</v>
      </c>
      <c r="J8" s="40">
        <f t="shared" si="0"/>
        <v>918</v>
      </c>
      <c r="K8" s="40">
        <v>872</v>
      </c>
      <c r="L8" s="27">
        <f t="shared" si="1"/>
        <v>1.0527522935779816</v>
      </c>
    </row>
    <row r="9" spans="1:12" x14ac:dyDescent="0.3">
      <c r="A9" s="41">
        <v>8</v>
      </c>
      <c r="B9" s="42" t="s">
        <v>33</v>
      </c>
      <c r="C9" s="41">
        <v>1</v>
      </c>
      <c r="D9" s="42" t="s">
        <v>37</v>
      </c>
      <c r="E9" s="42" t="s">
        <v>74</v>
      </c>
      <c r="F9" s="42" t="s">
        <v>43</v>
      </c>
      <c r="G9" s="42" t="s">
        <v>71</v>
      </c>
      <c r="H9" s="43">
        <v>22</v>
      </c>
      <c r="I9" s="42">
        <v>105</v>
      </c>
      <c r="J9" s="43">
        <f t="shared" si="0"/>
        <v>2310</v>
      </c>
      <c r="K9" s="43">
        <v>2394</v>
      </c>
      <c r="L9" s="44">
        <f t="shared" si="1"/>
        <v>0.96491228070175439</v>
      </c>
    </row>
    <row r="10" spans="1:12" x14ac:dyDescent="0.3">
      <c r="A10" s="18">
        <v>9</v>
      </c>
      <c r="B10" s="25" t="s">
        <v>33</v>
      </c>
      <c r="C10" s="18">
        <v>1</v>
      </c>
      <c r="D10" s="25" t="s">
        <v>37</v>
      </c>
      <c r="E10" s="25" t="s">
        <v>74</v>
      </c>
      <c r="F10" s="25" t="s">
        <v>39</v>
      </c>
      <c r="G10" s="25" t="s">
        <v>72</v>
      </c>
      <c r="H10" s="40">
        <v>35</v>
      </c>
      <c r="I10" s="25">
        <v>61</v>
      </c>
      <c r="J10" s="40">
        <f t="shared" si="0"/>
        <v>2135</v>
      </c>
      <c r="K10" s="40">
        <v>2236</v>
      </c>
      <c r="L10" s="27">
        <f t="shared" si="1"/>
        <v>0.95483005366726292</v>
      </c>
    </row>
    <row r="11" spans="1:12" x14ac:dyDescent="0.3">
      <c r="A11" s="41">
        <v>10</v>
      </c>
      <c r="B11" s="42" t="s">
        <v>33</v>
      </c>
      <c r="C11" s="41">
        <v>1</v>
      </c>
      <c r="D11" s="42" t="s">
        <v>37</v>
      </c>
      <c r="E11" s="42" t="s">
        <v>74</v>
      </c>
      <c r="F11" s="42" t="s">
        <v>47</v>
      </c>
      <c r="G11" s="42" t="s">
        <v>70</v>
      </c>
      <c r="H11" s="43">
        <v>15</v>
      </c>
      <c r="I11" s="42">
        <v>91</v>
      </c>
      <c r="J11" s="43">
        <f t="shared" si="0"/>
        <v>1365</v>
      </c>
      <c r="K11" s="43">
        <v>1231</v>
      </c>
      <c r="L11" s="44">
        <f t="shared" si="1"/>
        <v>1.1088545897644191</v>
      </c>
    </row>
    <row r="12" spans="1:12" x14ac:dyDescent="0.3">
      <c r="A12" s="18">
        <v>11</v>
      </c>
      <c r="B12" s="25" t="s">
        <v>33</v>
      </c>
      <c r="C12" s="18">
        <v>1</v>
      </c>
      <c r="D12" s="25" t="s">
        <v>37</v>
      </c>
      <c r="E12" s="25" t="s">
        <v>74</v>
      </c>
      <c r="F12" s="25" t="s">
        <v>35</v>
      </c>
      <c r="G12" s="25" t="s">
        <v>71</v>
      </c>
      <c r="H12" s="40">
        <v>48</v>
      </c>
      <c r="I12" s="25">
        <v>119</v>
      </c>
      <c r="J12" s="40">
        <f t="shared" si="0"/>
        <v>5712</v>
      </c>
      <c r="K12" s="40">
        <v>6138</v>
      </c>
      <c r="L12" s="27">
        <f t="shared" si="1"/>
        <v>0.93059628543499506</v>
      </c>
    </row>
    <row r="13" spans="1:12" x14ac:dyDescent="0.3">
      <c r="A13" s="41">
        <v>12</v>
      </c>
      <c r="B13" s="42" t="s">
        <v>33</v>
      </c>
      <c r="C13" s="41">
        <v>1</v>
      </c>
      <c r="D13" s="42" t="s">
        <v>37</v>
      </c>
      <c r="E13" s="42" t="s">
        <v>74</v>
      </c>
      <c r="F13" s="42" t="s">
        <v>55</v>
      </c>
      <c r="G13" s="42" t="s">
        <v>73</v>
      </c>
      <c r="H13" s="43">
        <v>12</v>
      </c>
      <c r="I13" s="42">
        <v>55</v>
      </c>
      <c r="J13" s="43">
        <f t="shared" si="0"/>
        <v>660</v>
      </c>
      <c r="K13" s="43">
        <v>620</v>
      </c>
      <c r="L13" s="44">
        <f t="shared" si="1"/>
        <v>1.064516129032258</v>
      </c>
    </row>
    <row r="14" spans="1:12" x14ac:dyDescent="0.3">
      <c r="A14" s="18">
        <v>13</v>
      </c>
      <c r="B14" s="25" t="s">
        <v>33</v>
      </c>
      <c r="C14" s="18">
        <v>1</v>
      </c>
      <c r="D14" s="25" t="s">
        <v>41</v>
      </c>
      <c r="E14" s="25" t="s">
        <v>75</v>
      </c>
      <c r="F14" s="25" t="s">
        <v>51</v>
      </c>
      <c r="G14" s="25" t="s">
        <v>70</v>
      </c>
      <c r="H14" s="40">
        <v>8.5</v>
      </c>
      <c r="I14" s="25">
        <v>119</v>
      </c>
      <c r="J14" s="40">
        <f t="shared" si="0"/>
        <v>1011.5</v>
      </c>
      <c r="K14" s="40">
        <v>995</v>
      </c>
      <c r="L14" s="27">
        <f t="shared" si="1"/>
        <v>1.0165829145728644</v>
      </c>
    </row>
    <row r="15" spans="1:12" x14ac:dyDescent="0.3">
      <c r="A15" s="41">
        <v>14</v>
      </c>
      <c r="B15" s="42" t="s">
        <v>33</v>
      </c>
      <c r="C15" s="41">
        <v>1</v>
      </c>
      <c r="D15" s="42" t="s">
        <v>41</v>
      </c>
      <c r="E15" s="42" t="s">
        <v>75</v>
      </c>
      <c r="F15" s="42" t="s">
        <v>43</v>
      </c>
      <c r="G15" s="42" t="s">
        <v>71</v>
      </c>
      <c r="H15" s="43">
        <v>22</v>
      </c>
      <c r="I15" s="42">
        <v>73</v>
      </c>
      <c r="J15" s="43">
        <f t="shared" si="0"/>
        <v>1606</v>
      </c>
      <c r="K15" s="43">
        <v>1484</v>
      </c>
      <c r="L15" s="44">
        <f t="shared" si="1"/>
        <v>1.082210242587601</v>
      </c>
    </row>
    <row r="16" spans="1:12" x14ac:dyDescent="0.3">
      <c r="A16" s="18">
        <v>15</v>
      </c>
      <c r="B16" s="25" t="s">
        <v>33</v>
      </c>
      <c r="C16" s="18">
        <v>1</v>
      </c>
      <c r="D16" s="25" t="s">
        <v>41</v>
      </c>
      <c r="E16" s="25" t="s">
        <v>75</v>
      </c>
      <c r="F16" s="25" t="s">
        <v>39</v>
      </c>
      <c r="G16" s="25" t="s">
        <v>72</v>
      </c>
      <c r="H16" s="40">
        <v>35</v>
      </c>
      <c r="I16" s="25">
        <v>61</v>
      </c>
      <c r="J16" s="40">
        <f t="shared" si="0"/>
        <v>2135</v>
      </c>
      <c r="K16" s="40">
        <v>2244</v>
      </c>
      <c r="L16" s="27">
        <f t="shared" si="1"/>
        <v>0.95142602495543671</v>
      </c>
    </row>
    <row r="17" spans="1:12" x14ac:dyDescent="0.3">
      <c r="A17" s="41">
        <v>16</v>
      </c>
      <c r="B17" s="42" t="s">
        <v>33</v>
      </c>
      <c r="C17" s="41">
        <v>1</v>
      </c>
      <c r="D17" s="42" t="s">
        <v>41</v>
      </c>
      <c r="E17" s="42" t="s">
        <v>75</v>
      </c>
      <c r="F17" s="42" t="s">
        <v>47</v>
      </c>
      <c r="G17" s="42" t="s">
        <v>70</v>
      </c>
      <c r="H17" s="43">
        <v>15</v>
      </c>
      <c r="I17" s="42">
        <v>76</v>
      </c>
      <c r="J17" s="43">
        <f t="shared" si="0"/>
        <v>1140</v>
      </c>
      <c r="K17" s="43">
        <v>1234</v>
      </c>
      <c r="L17" s="44">
        <f t="shared" si="1"/>
        <v>0.92382495948136145</v>
      </c>
    </row>
    <row r="18" spans="1:12" x14ac:dyDescent="0.3">
      <c r="A18" s="18">
        <v>17</v>
      </c>
      <c r="B18" s="25" t="s">
        <v>33</v>
      </c>
      <c r="C18" s="18">
        <v>1</v>
      </c>
      <c r="D18" s="25" t="s">
        <v>41</v>
      </c>
      <c r="E18" s="25" t="s">
        <v>75</v>
      </c>
      <c r="F18" s="25" t="s">
        <v>35</v>
      </c>
      <c r="G18" s="25" t="s">
        <v>71</v>
      </c>
      <c r="H18" s="40">
        <v>48</v>
      </c>
      <c r="I18" s="25">
        <v>91</v>
      </c>
      <c r="J18" s="40">
        <f t="shared" si="0"/>
        <v>4368</v>
      </c>
      <c r="K18" s="40">
        <v>4994</v>
      </c>
      <c r="L18" s="27">
        <f t="shared" si="1"/>
        <v>0.87464957949539446</v>
      </c>
    </row>
    <row r="19" spans="1:12" x14ac:dyDescent="0.3">
      <c r="A19" s="41">
        <v>18</v>
      </c>
      <c r="B19" s="42" t="s">
        <v>33</v>
      </c>
      <c r="C19" s="41">
        <v>1</v>
      </c>
      <c r="D19" s="42" t="s">
        <v>41</v>
      </c>
      <c r="E19" s="42" t="s">
        <v>75</v>
      </c>
      <c r="F19" s="42" t="s">
        <v>55</v>
      </c>
      <c r="G19" s="42" t="s">
        <v>73</v>
      </c>
      <c r="H19" s="43">
        <v>12</v>
      </c>
      <c r="I19" s="42">
        <v>47</v>
      </c>
      <c r="J19" s="43">
        <f t="shared" si="0"/>
        <v>564</v>
      </c>
      <c r="K19" s="43">
        <v>585</v>
      </c>
      <c r="L19" s="44">
        <f t="shared" si="1"/>
        <v>0.96410256410256412</v>
      </c>
    </row>
    <row r="20" spans="1:12" x14ac:dyDescent="0.3">
      <c r="A20" s="18">
        <v>19</v>
      </c>
      <c r="B20" s="25" t="s">
        <v>33</v>
      </c>
      <c r="C20" s="18">
        <v>1</v>
      </c>
      <c r="D20" s="25" t="s">
        <v>49</v>
      </c>
      <c r="E20" s="25" t="s">
        <v>76</v>
      </c>
      <c r="F20" s="25" t="s">
        <v>51</v>
      </c>
      <c r="G20" s="25" t="s">
        <v>70</v>
      </c>
      <c r="H20" s="40">
        <v>8.5</v>
      </c>
      <c r="I20" s="25">
        <v>103</v>
      </c>
      <c r="J20" s="40">
        <f t="shared" si="0"/>
        <v>875.5</v>
      </c>
      <c r="K20" s="40">
        <v>923</v>
      </c>
      <c r="L20" s="27">
        <f t="shared" si="1"/>
        <v>0.94853737811484296</v>
      </c>
    </row>
    <row r="21" spans="1:12" x14ac:dyDescent="0.3">
      <c r="A21" s="41">
        <v>20</v>
      </c>
      <c r="B21" s="42" t="s">
        <v>33</v>
      </c>
      <c r="C21" s="41">
        <v>1</v>
      </c>
      <c r="D21" s="42" t="s">
        <v>49</v>
      </c>
      <c r="E21" s="42" t="s">
        <v>76</v>
      </c>
      <c r="F21" s="42" t="s">
        <v>43</v>
      </c>
      <c r="G21" s="42" t="s">
        <v>71</v>
      </c>
      <c r="H21" s="43">
        <v>22</v>
      </c>
      <c r="I21" s="42">
        <v>83</v>
      </c>
      <c r="J21" s="43">
        <f t="shared" si="0"/>
        <v>1826</v>
      </c>
      <c r="K21" s="43">
        <v>1907</v>
      </c>
      <c r="L21" s="44">
        <f t="shared" si="1"/>
        <v>0.95752490823282643</v>
      </c>
    </row>
    <row r="22" spans="1:12" x14ac:dyDescent="0.3">
      <c r="A22" s="18">
        <v>21</v>
      </c>
      <c r="B22" s="25" t="s">
        <v>33</v>
      </c>
      <c r="C22" s="18">
        <v>1</v>
      </c>
      <c r="D22" s="25" t="s">
        <v>49</v>
      </c>
      <c r="E22" s="25" t="s">
        <v>76</v>
      </c>
      <c r="F22" s="25" t="s">
        <v>39</v>
      </c>
      <c r="G22" s="25" t="s">
        <v>72</v>
      </c>
      <c r="H22" s="40">
        <v>35</v>
      </c>
      <c r="I22" s="25">
        <v>53</v>
      </c>
      <c r="J22" s="40">
        <f t="shared" si="0"/>
        <v>1855</v>
      </c>
      <c r="K22" s="40">
        <v>1691</v>
      </c>
      <c r="L22" s="27">
        <f t="shared" si="1"/>
        <v>1.0969840331164991</v>
      </c>
    </row>
    <row r="23" spans="1:12" x14ac:dyDescent="0.3">
      <c r="A23" s="41">
        <v>22</v>
      </c>
      <c r="B23" s="42" t="s">
        <v>33</v>
      </c>
      <c r="C23" s="41">
        <v>1</v>
      </c>
      <c r="D23" s="42" t="s">
        <v>49</v>
      </c>
      <c r="E23" s="42" t="s">
        <v>76</v>
      </c>
      <c r="F23" s="42" t="s">
        <v>47</v>
      </c>
      <c r="G23" s="42" t="s">
        <v>70</v>
      </c>
      <c r="H23" s="43">
        <v>15</v>
      </c>
      <c r="I23" s="42">
        <v>57</v>
      </c>
      <c r="J23" s="43">
        <f t="shared" si="0"/>
        <v>855</v>
      </c>
      <c r="K23" s="43">
        <v>831</v>
      </c>
      <c r="L23" s="44">
        <f t="shared" si="1"/>
        <v>1.0288808664259927</v>
      </c>
    </row>
    <row r="24" spans="1:12" x14ac:dyDescent="0.3">
      <c r="A24" s="18">
        <v>23</v>
      </c>
      <c r="B24" s="25" t="s">
        <v>33</v>
      </c>
      <c r="C24" s="18">
        <v>1</v>
      </c>
      <c r="D24" s="25" t="s">
        <v>49</v>
      </c>
      <c r="E24" s="25" t="s">
        <v>76</v>
      </c>
      <c r="F24" s="25" t="s">
        <v>35</v>
      </c>
      <c r="G24" s="25" t="s">
        <v>71</v>
      </c>
      <c r="H24" s="40">
        <v>48</v>
      </c>
      <c r="I24" s="25">
        <v>71</v>
      </c>
      <c r="J24" s="40">
        <f t="shared" si="0"/>
        <v>3408</v>
      </c>
      <c r="K24" s="40">
        <v>3266</v>
      </c>
      <c r="L24" s="27">
        <f t="shared" si="1"/>
        <v>1.0434782608695652</v>
      </c>
    </row>
    <row r="25" spans="1:12" x14ac:dyDescent="0.3">
      <c r="A25" s="41">
        <v>24</v>
      </c>
      <c r="B25" s="42" t="s">
        <v>33</v>
      </c>
      <c r="C25" s="41">
        <v>1</v>
      </c>
      <c r="D25" s="42" t="s">
        <v>49</v>
      </c>
      <c r="E25" s="42" t="s">
        <v>76</v>
      </c>
      <c r="F25" s="42" t="s">
        <v>55</v>
      </c>
      <c r="G25" s="42" t="s">
        <v>73</v>
      </c>
      <c r="H25" s="43">
        <v>12</v>
      </c>
      <c r="I25" s="42">
        <v>38</v>
      </c>
      <c r="J25" s="43">
        <f t="shared" si="0"/>
        <v>456</v>
      </c>
      <c r="K25" s="43">
        <v>442</v>
      </c>
      <c r="L25" s="44">
        <f t="shared" si="1"/>
        <v>1.0316742081447965</v>
      </c>
    </row>
    <row r="26" spans="1:12" x14ac:dyDescent="0.3">
      <c r="A26" s="18">
        <v>25</v>
      </c>
      <c r="B26" s="25" t="s">
        <v>33</v>
      </c>
      <c r="C26" s="18">
        <v>1</v>
      </c>
      <c r="D26" s="25" t="s">
        <v>53</v>
      </c>
      <c r="E26" s="25" t="s">
        <v>77</v>
      </c>
      <c r="F26" s="25" t="s">
        <v>51</v>
      </c>
      <c r="G26" s="25" t="s">
        <v>70</v>
      </c>
      <c r="H26" s="40">
        <v>8.5</v>
      </c>
      <c r="I26" s="25">
        <v>87</v>
      </c>
      <c r="J26" s="40">
        <f t="shared" si="0"/>
        <v>739.5</v>
      </c>
      <c r="K26" s="40">
        <v>733</v>
      </c>
      <c r="L26" s="27">
        <f t="shared" si="1"/>
        <v>1.0088676671214187</v>
      </c>
    </row>
    <row r="27" spans="1:12" x14ac:dyDescent="0.3">
      <c r="A27" s="41">
        <v>26</v>
      </c>
      <c r="B27" s="42" t="s">
        <v>33</v>
      </c>
      <c r="C27" s="41">
        <v>1</v>
      </c>
      <c r="D27" s="42" t="s">
        <v>53</v>
      </c>
      <c r="E27" s="42" t="s">
        <v>77</v>
      </c>
      <c r="F27" s="42" t="s">
        <v>43</v>
      </c>
      <c r="G27" s="42" t="s">
        <v>71</v>
      </c>
      <c r="H27" s="43">
        <v>22</v>
      </c>
      <c r="I27" s="42">
        <v>64</v>
      </c>
      <c r="J27" s="43">
        <f t="shared" si="0"/>
        <v>1408</v>
      </c>
      <c r="K27" s="43">
        <v>1341</v>
      </c>
      <c r="L27" s="44">
        <f t="shared" si="1"/>
        <v>1.0499627143922445</v>
      </c>
    </row>
    <row r="28" spans="1:12" x14ac:dyDescent="0.3">
      <c r="A28" s="18">
        <v>27</v>
      </c>
      <c r="B28" s="25" t="s">
        <v>33</v>
      </c>
      <c r="C28" s="18">
        <v>1</v>
      </c>
      <c r="D28" s="25" t="s">
        <v>53</v>
      </c>
      <c r="E28" s="25" t="s">
        <v>77</v>
      </c>
      <c r="F28" s="25" t="s">
        <v>39</v>
      </c>
      <c r="G28" s="25" t="s">
        <v>72</v>
      </c>
      <c r="H28" s="40">
        <v>35</v>
      </c>
      <c r="I28" s="25">
        <v>41</v>
      </c>
      <c r="J28" s="40">
        <f t="shared" si="0"/>
        <v>1435</v>
      </c>
      <c r="K28" s="40">
        <v>1628</v>
      </c>
      <c r="L28" s="27">
        <f t="shared" si="1"/>
        <v>0.8814496314496314</v>
      </c>
    </row>
    <row r="29" spans="1:12" x14ac:dyDescent="0.3">
      <c r="A29" s="41">
        <v>28</v>
      </c>
      <c r="B29" s="42" t="s">
        <v>33</v>
      </c>
      <c r="C29" s="41">
        <v>1</v>
      </c>
      <c r="D29" s="42" t="s">
        <v>53</v>
      </c>
      <c r="E29" s="42" t="s">
        <v>77</v>
      </c>
      <c r="F29" s="42" t="s">
        <v>47</v>
      </c>
      <c r="G29" s="42" t="s">
        <v>70</v>
      </c>
      <c r="H29" s="43">
        <v>15</v>
      </c>
      <c r="I29" s="42">
        <v>58</v>
      </c>
      <c r="J29" s="43">
        <f t="shared" si="0"/>
        <v>870</v>
      </c>
      <c r="K29" s="43">
        <v>915</v>
      </c>
      <c r="L29" s="44">
        <f t="shared" si="1"/>
        <v>0.95081967213114749</v>
      </c>
    </row>
    <row r="30" spans="1:12" x14ac:dyDescent="0.3">
      <c r="A30" s="18">
        <v>29</v>
      </c>
      <c r="B30" s="25" t="s">
        <v>33</v>
      </c>
      <c r="C30" s="18">
        <v>1</v>
      </c>
      <c r="D30" s="25" t="s">
        <v>53</v>
      </c>
      <c r="E30" s="25" t="s">
        <v>77</v>
      </c>
      <c r="F30" s="25" t="s">
        <v>35</v>
      </c>
      <c r="G30" s="25" t="s">
        <v>71</v>
      </c>
      <c r="H30" s="40">
        <v>48</v>
      </c>
      <c r="I30" s="25">
        <v>65</v>
      </c>
      <c r="J30" s="40">
        <f t="shared" si="0"/>
        <v>3120</v>
      </c>
      <c r="K30" s="40">
        <v>3377</v>
      </c>
      <c r="L30" s="27">
        <f t="shared" si="1"/>
        <v>0.92389694995558191</v>
      </c>
    </row>
    <row r="31" spans="1:12" x14ac:dyDescent="0.3">
      <c r="A31" s="41">
        <v>30</v>
      </c>
      <c r="B31" s="42" t="s">
        <v>33</v>
      </c>
      <c r="C31" s="41">
        <v>1</v>
      </c>
      <c r="D31" s="42" t="s">
        <v>53</v>
      </c>
      <c r="E31" s="42" t="s">
        <v>77</v>
      </c>
      <c r="F31" s="42" t="s">
        <v>55</v>
      </c>
      <c r="G31" s="42" t="s">
        <v>73</v>
      </c>
      <c r="H31" s="43">
        <v>12</v>
      </c>
      <c r="I31" s="42">
        <v>35</v>
      </c>
      <c r="J31" s="43">
        <f t="shared" si="0"/>
        <v>420</v>
      </c>
      <c r="K31" s="43">
        <v>418</v>
      </c>
      <c r="L31" s="44">
        <f t="shared" si="1"/>
        <v>1.0047846889952152</v>
      </c>
    </row>
    <row r="32" spans="1:12" x14ac:dyDescent="0.3">
      <c r="A32" s="18">
        <v>31</v>
      </c>
      <c r="B32" s="25" t="s">
        <v>33</v>
      </c>
      <c r="C32" s="18">
        <v>1</v>
      </c>
      <c r="D32" s="25" t="s">
        <v>45</v>
      </c>
      <c r="E32" s="25" t="s">
        <v>78</v>
      </c>
      <c r="F32" s="25" t="s">
        <v>51</v>
      </c>
      <c r="G32" s="25" t="s">
        <v>70</v>
      </c>
      <c r="H32" s="40">
        <v>8.5</v>
      </c>
      <c r="I32" s="25">
        <v>114</v>
      </c>
      <c r="J32" s="40">
        <f t="shared" si="0"/>
        <v>969</v>
      </c>
      <c r="K32" s="40">
        <v>1027</v>
      </c>
      <c r="L32" s="27">
        <f t="shared" si="1"/>
        <v>0.94352482960077899</v>
      </c>
    </row>
    <row r="33" spans="1:12" x14ac:dyDescent="0.3">
      <c r="A33" s="41">
        <v>32</v>
      </c>
      <c r="B33" s="42" t="s">
        <v>33</v>
      </c>
      <c r="C33" s="41">
        <v>1</v>
      </c>
      <c r="D33" s="42" t="s">
        <v>45</v>
      </c>
      <c r="E33" s="42" t="s">
        <v>78</v>
      </c>
      <c r="F33" s="42" t="s">
        <v>43</v>
      </c>
      <c r="G33" s="42" t="s">
        <v>71</v>
      </c>
      <c r="H33" s="43">
        <v>22</v>
      </c>
      <c r="I33" s="42">
        <v>81</v>
      </c>
      <c r="J33" s="43">
        <f t="shared" si="0"/>
        <v>1782</v>
      </c>
      <c r="K33" s="43">
        <v>1909</v>
      </c>
      <c r="L33" s="44">
        <f t="shared" si="1"/>
        <v>0.93347302252488218</v>
      </c>
    </row>
    <row r="34" spans="1:12" x14ac:dyDescent="0.3">
      <c r="A34" s="18">
        <v>33</v>
      </c>
      <c r="B34" s="25" t="s">
        <v>33</v>
      </c>
      <c r="C34" s="18">
        <v>1</v>
      </c>
      <c r="D34" s="25" t="s">
        <v>45</v>
      </c>
      <c r="E34" s="25" t="s">
        <v>78</v>
      </c>
      <c r="F34" s="25" t="s">
        <v>39</v>
      </c>
      <c r="G34" s="25" t="s">
        <v>72</v>
      </c>
      <c r="H34" s="40">
        <v>35</v>
      </c>
      <c r="I34" s="25">
        <v>58</v>
      </c>
      <c r="J34" s="40">
        <f t="shared" si="0"/>
        <v>2030</v>
      </c>
      <c r="K34" s="40">
        <v>2221</v>
      </c>
      <c r="L34" s="27">
        <f t="shared" si="1"/>
        <v>0.91400270148581719</v>
      </c>
    </row>
    <row r="35" spans="1:12" x14ac:dyDescent="0.3">
      <c r="A35" s="41">
        <v>34</v>
      </c>
      <c r="B35" s="42" t="s">
        <v>33</v>
      </c>
      <c r="C35" s="41">
        <v>1</v>
      </c>
      <c r="D35" s="42" t="s">
        <v>45</v>
      </c>
      <c r="E35" s="42" t="s">
        <v>78</v>
      </c>
      <c r="F35" s="42" t="s">
        <v>47</v>
      </c>
      <c r="G35" s="42" t="s">
        <v>70</v>
      </c>
      <c r="H35" s="43">
        <v>15</v>
      </c>
      <c r="I35" s="42">
        <v>61</v>
      </c>
      <c r="J35" s="43">
        <f t="shared" si="0"/>
        <v>915</v>
      </c>
      <c r="K35" s="43">
        <v>831</v>
      </c>
      <c r="L35" s="44">
        <f t="shared" si="1"/>
        <v>1.1010830324909748</v>
      </c>
    </row>
    <row r="36" spans="1:12" x14ac:dyDescent="0.3">
      <c r="A36" s="18">
        <v>35</v>
      </c>
      <c r="B36" s="25" t="s">
        <v>33</v>
      </c>
      <c r="C36" s="18">
        <v>1</v>
      </c>
      <c r="D36" s="25" t="s">
        <v>45</v>
      </c>
      <c r="E36" s="25" t="s">
        <v>78</v>
      </c>
      <c r="F36" s="25" t="s">
        <v>35</v>
      </c>
      <c r="G36" s="25" t="s">
        <v>71</v>
      </c>
      <c r="H36" s="40">
        <v>48</v>
      </c>
      <c r="I36" s="25">
        <v>81</v>
      </c>
      <c r="J36" s="40">
        <f t="shared" si="0"/>
        <v>3888</v>
      </c>
      <c r="K36" s="40">
        <v>3759</v>
      </c>
      <c r="L36" s="27">
        <f t="shared" si="1"/>
        <v>1.0343176376695931</v>
      </c>
    </row>
    <row r="37" spans="1:12" x14ac:dyDescent="0.3">
      <c r="A37" s="41">
        <v>36</v>
      </c>
      <c r="B37" s="42" t="s">
        <v>33</v>
      </c>
      <c r="C37" s="41">
        <v>1</v>
      </c>
      <c r="D37" s="42" t="s">
        <v>45</v>
      </c>
      <c r="E37" s="42" t="s">
        <v>78</v>
      </c>
      <c r="F37" s="42" t="s">
        <v>55</v>
      </c>
      <c r="G37" s="42" t="s">
        <v>73</v>
      </c>
      <c r="H37" s="43">
        <v>12</v>
      </c>
      <c r="I37" s="42">
        <v>42</v>
      </c>
      <c r="J37" s="43">
        <f t="shared" si="0"/>
        <v>504</v>
      </c>
      <c r="K37" s="43">
        <v>572</v>
      </c>
      <c r="L37" s="44">
        <f t="shared" si="1"/>
        <v>0.88111888111888115</v>
      </c>
    </row>
    <row r="38" spans="1:12" x14ac:dyDescent="0.3">
      <c r="A38" s="18">
        <v>37</v>
      </c>
      <c r="B38" s="25" t="s">
        <v>36</v>
      </c>
      <c r="C38" s="18">
        <v>2</v>
      </c>
      <c r="D38" s="25" t="s">
        <v>19</v>
      </c>
      <c r="E38" s="25" t="s">
        <v>69</v>
      </c>
      <c r="F38" s="25" t="s">
        <v>51</v>
      </c>
      <c r="G38" s="25" t="s">
        <v>70</v>
      </c>
      <c r="H38" s="40">
        <v>8.5</v>
      </c>
      <c r="I38" s="25">
        <v>225</v>
      </c>
      <c r="J38" s="40">
        <f t="shared" si="0"/>
        <v>1912.5</v>
      </c>
      <c r="K38" s="40">
        <v>1872</v>
      </c>
      <c r="L38" s="27">
        <f t="shared" si="1"/>
        <v>1.0216346153846154</v>
      </c>
    </row>
    <row r="39" spans="1:12" x14ac:dyDescent="0.3">
      <c r="A39" s="41">
        <v>38</v>
      </c>
      <c r="B39" s="42" t="s">
        <v>36</v>
      </c>
      <c r="C39" s="41">
        <v>2</v>
      </c>
      <c r="D39" s="42" t="s">
        <v>19</v>
      </c>
      <c r="E39" s="42" t="s">
        <v>69</v>
      </c>
      <c r="F39" s="42" t="s">
        <v>43</v>
      </c>
      <c r="G39" s="42" t="s">
        <v>71</v>
      </c>
      <c r="H39" s="43">
        <v>22</v>
      </c>
      <c r="I39" s="42">
        <v>169</v>
      </c>
      <c r="J39" s="43">
        <f t="shared" si="0"/>
        <v>3718</v>
      </c>
      <c r="K39" s="43">
        <v>3714</v>
      </c>
      <c r="L39" s="44">
        <f t="shared" si="1"/>
        <v>1.0010770059235325</v>
      </c>
    </row>
    <row r="40" spans="1:12" x14ac:dyDescent="0.3">
      <c r="A40" s="18">
        <v>39</v>
      </c>
      <c r="B40" s="25" t="s">
        <v>36</v>
      </c>
      <c r="C40" s="18">
        <v>2</v>
      </c>
      <c r="D40" s="25" t="s">
        <v>19</v>
      </c>
      <c r="E40" s="25" t="s">
        <v>69</v>
      </c>
      <c r="F40" s="25" t="s">
        <v>39</v>
      </c>
      <c r="G40" s="25" t="s">
        <v>72</v>
      </c>
      <c r="H40" s="40">
        <v>35</v>
      </c>
      <c r="I40" s="25">
        <v>121</v>
      </c>
      <c r="J40" s="40">
        <f t="shared" si="0"/>
        <v>4235</v>
      </c>
      <c r="K40" s="40">
        <v>4297</v>
      </c>
      <c r="L40" s="27">
        <f t="shared" si="1"/>
        <v>0.98557132883407028</v>
      </c>
    </row>
    <row r="41" spans="1:12" x14ac:dyDescent="0.3">
      <c r="A41" s="41">
        <v>40</v>
      </c>
      <c r="B41" s="42" t="s">
        <v>36</v>
      </c>
      <c r="C41" s="41">
        <v>2</v>
      </c>
      <c r="D41" s="42" t="s">
        <v>19</v>
      </c>
      <c r="E41" s="42" t="s">
        <v>69</v>
      </c>
      <c r="F41" s="42" t="s">
        <v>47</v>
      </c>
      <c r="G41" s="42" t="s">
        <v>70</v>
      </c>
      <c r="H41" s="43">
        <v>15</v>
      </c>
      <c r="I41" s="42">
        <v>125</v>
      </c>
      <c r="J41" s="43">
        <f t="shared" si="0"/>
        <v>1875</v>
      </c>
      <c r="K41" s="43">
        <v>1803</v>
      </c>
      <c r="L41" s="44">
        <f t="shared" si="1"/>
        <v>1.0399334442595674</v>
      </c>
    </row>
    <row r="42" spans="1:12" x14ac:dyDescent="0.3">
      <c r="A42" s="18">
        <v>41</v>
      </c>
      <c r="B42" s="25" t="s">
        <v>36</v>
      </c>
      <c r="C42" s="18">
        <v>2</v>
      </c>
      <c r="D42" s="25" t="s">
        <v>19</v>
      </c>
      <c r="E42" s="25" t="s">
        <v>69</v>
      </c>
      <c r="F42" s="25" t="s">
        <v>35</v>
      </c>
      <c r="G42" s="25" t="s">
        <v>71</v>
      </c>
      <c r="H42" s="40">
        <v>48</v>
      </c>
      <c r="I42" s="25">
        <v>178</v>
      </c>
      <c r="J42" s="40">
        <f t="shared" si="0"/>
        <v>8544</v>
      </c>
      <c r="K42" s="40">
        <v>8251</v>
      </c>
      <c r="L42" s="27">
        <f t="shared" si="1"/>
        <v>1.03551084717004</v>
      </c>
    </row>
    <row r="43" spans="1:12" x14ac:dyDescent="0.3">
      <c r="A43" s="41">
        <v>42</v>
      </c>
      <c r="B43" s="42" t="s">
        <v>36</v>
      </c>
      <c r="C43" s="41">
        <v>2</v>
      </c>
      <c r="D43" s="42" t="s">
        <v>19</v>
      </c>
      <c r="E43" s="42" t="s">
        <v>69</v>
      </c>
      <c r="F43" s="42" t="s">
        <v>55</v>
      </c>
      <c r="G43" s="42" t="s">
        <v>73</v>
      </c>
      <c r="H43" s="43">
        <v>12</v>
      </c>
      <c r="I43" s="42">
        <v>96</v>
      </c>
      <c r="J43" s="43">
        <f t="shared" si="0"/>
        <v>1152</v>
      </c>
      <c r="K43" s="43">
        <v>1295</v>
      </c>
      <c r="L43" s="44">
        <f t="shared" si="1"/>
        <v>0.88957528957528953</v>
      </c>
    </row>
    <row r="44" spans="1:12" x14ac:dyDescent="0.3">
      <c r="A44" s="18">
        <v>43</v>
      </c>
      <c r="B44" s="25" t="s">
        <v>36</v>
      </c>
      <c r="C44" s="18">
        <v>2</v>
      </c>
      <c r="D44" s="25" t="s">
        <v>37</v>
      </c>
      <c r="E44" s="25" t="s">
        <v>74</v>
      </c>
      <c r="F44" s="25" t="s">
        <v>51</v>
      </c>
      <c r="G44" s="25" t="s">
        <v>70</v>
      </c>
      <c r="H44" s="40">
        <v>8.5</v>
      </c>
      <c r="I44" s="25">
        <v>130</v>
      </c>
      <c r="J44" s="40">
        <f t="shared" si="0"/>
        <v>1105</v>
      </c>
      <c r="K44" s="40">
        <v>1055</v>
      </c>
      <c r="L44" s="27">
        <f t="shared" si="1"/>
        <v>1.04739336492891</v>
      </c>
    </row>
    <row r="45" spans="1:12" x14ac:dyDescent="0.3">
      <c r="A45" s="41">
        <v>44</v>
      </c>
      <c r="B45" s="42" t="s">
        <v>36</v>
      </c>
      <c r="C45" s="41">
        <v>2</v>
      </c>
      <c r="D45" s="42" t="s">
        <v>37</v>
      </c>
      <c r="E45" s="42" t="s">
        <v>74</v>
      </c>
      <c r="F45" s="42" t="s">
        <v>43</v>
      </c>
      <c r="G45" s="42" t="s">
        <v>71</v>
      </c>
      <c r="H45" s="43">
        <v>22</v>
      </c>
      <c r="I45" s="42">
        <v>124</v>
      </c>
      <c r="J45" s="43">
        <f t="shared" si="0"/>
        <v>2728</v>
      </c>
      <c r="K45" s="43">
        <v>2803</v>
      </c>
      <c r="L45" s="44">
        <f t="shared" si="1"/>
        <v>0.97324295397788085</v>
      </c>
    </row>
    <row r="46" spans="1:12" x14ac:dyDescent="0.3">
      <c r="A46" s="18">
        <v>45</v>
      </c>
      <c r="B46" s="25" t="s">
        <v>36</v>
      </c>
      <c r="C46" s="18">
        <v>2</v>
      </c>
      <c r="D46" s="25" t="s">
        <v>37</v>
      </c>
      <c r="E46" s="25" t="s">
        <v>74</v>
      </c>
      <c r="F46" s="25" t="s">
        <v>39</v>
      </c>
      <c r="G46" s="25" t="s">
        <v>72</v>
      </c>
      <c r="H46" s="40">
        <v>35</v>
      </c>
      <c r="I46" s="25">
        <v>63</v>
      </c>
      <c r="J46" s="40">
        <f t="shared" si="0"/>
        <v>2205</v>
      </c>
      <c r="K46" s="40">
        <v>2010</v>
      </c>
      <c r="L46" s="27">
        <f t="shared" si="1"/>
        <v>1.0970149253731343</v>
      </c>
    </row>
    <row r="47" spans="1:12" x14ac:dyDescent="0.3">
      <c r="A47" s="41">
        <v>46</v>
      </c>
      <c r="B47" s="42" t="s">
        <v>36</v>
      </c>
      <c r="C47" s="41">
        <v>2</v>
      </c>
      <c r="D47" s="42" t="s">
        <v>37</v>
      </c>
      <c r="E47" s="42" t="s">
        <v>74</v>
      </c>
      <c r="F47" s="42" t="s">
        <v>47</v>
      </c>
      <c r="G47" s="42" t="s">
        <v>70</v>
      </c>
      <c r="H47" s="43">
        <v>15</v>
      </c>
      <c r="I47" s="42">
        <v>79</v>
      </c>
      <c r="J47" s="43">
        <f t="shared" si="0"/>
        <v>1185</v>
      </c>
      <c r="K47" s="43">
        <v>1252</v>
      </c>
      <c r="L47" s="44">
        <f t="shared" si="1"/>
        <v>0.94648562300319494</v>
      </c>
    </row>
    <row r="48" spans="1:12" x14ac:dyDescent="0.3">
      <c r="A48" s="18">
        <v>47</v>
      </c>
      <c r="B48" s="25" t="s">
        <v>36</v>
      </c>
      <c r="C48" s="18">
        <v>2</v>
      </c>
      <c r="D48" s="25" t="s">
        <v>37</v>
      </c>
      <c r="E48" s="25" t="s">
        <v>74</v>
      </c>
      <c r="F48" s="25" t="s">
        <v>35</v>
      </c>
      <c r="G48" s="25" t="s">
        <v>71</v>
      </c>
      <c r="H48" s="40">
        <v>48</v>
      </c>
      <c r="I48" s="25">
        <v>127</v>
      </c>
      <c r="J48" s="40">
        <f t="shared" si="0"/>
        <v>6096</v>
      </c>
      <c r="K48" s="40">
        <v>6130</v>
      </c>
      <c r="L48" s="27">
        <f t="shared" si="1"/>
        <v>0.99445350734094617</v>
      </c>
    </row>
    <row r="49" spans="1:12" x14ac:dyDescent="0.3">
      <c r="A49" s="41">
        <v>48</v>
      </c>
      <c r="B49" s="42" t="s">
        <v>36</v>
      </c>
      <c r="C49" s="41">
        <v>2</v>
      </c>
      <c r="D49" s="42" t="s">
        <v>37</v>
      </c>
      <c r="E49" s="42" t="s">
        <v>74</v>
      </c>
      <c r="F49" s="42" t="s">
        <v>55</v>
      </c>
      <c r="G49" s="42" t="s">
        <v>73</v>
      </c>
      <c r="H49" s="43">
        <v>12</v>
      </c>
      <c r="I49" s="42">
        <v>54</v>
      </c>
      <c r="J49" s="43">
        <f t="shared" si="0"/>
        <v>648</v>
      </c>
      <c r="K49" s="43">
        <v>645</v>
      </c>
      <c r="L49" s="44">
        <f t="shared" si="1"/>
        <v>1.0046511627906978</v>
      </c>
    </row>
    <row r="50" spans="1:12" x14ac:dyDescent="0.3">
      <c r="A50" s="18">
        <v>49</v>
      </c>
      <c r="B50" s="25" t="s">
        <v>36</v>
      </c>
      <c r="C50" s="18">
        <v>2</v>
      </c>
      <c r="D50" s="25" t="s">
        <v>41</v>
      </c>
      <c r="E50" s="25" t="s">
        <v>75</v>
      </c>
      <c r="F50" s="25" t="s">
        <v>51</v>
      </c>
      <c r="G50" s="25" t="s">
        <v>70</v>
      </c>
      <c r="H50" s="40">
        <v>8.5</v>
      </c>
      <c r="I50" s="25">
        <v>129</v>
      </c>
      <c r="J50" s="40">
        <f t="shared" si="0"/>
        <v>1096.5</v>
      </c>
      <c r="K50" s="40">
        <v>1132</v>
      </c>
      <c r="L50" s="27">
        <f t="shared" si="1"/>
        <v>0.96863957597173145</v>
      </c>
    </row>
    <row r="51" spans="1:12" x14ac:dyDescent="0.3">
      <c r="A51" s="41">
        <v>50</v>
      </c>
      <c r="B51" s="42" t="s">
        <v>36</v>
      </c>
      <c r="C51" s="41">
        <v>2</v>
      </c>
      <c r="D51" s="42" t="s">
        <v>41</v>
      </c>
      <c r="E51" s="42" t="s">
        <v>75</v>
      </c>
      <c r="F51" s="42" t="s">
        <v>43</v>
      </c>
      <c r="G51" s="42" t="s">
        <v>71</v>
      </c>
      <c r="H51" s="43">
        <v>22</v>
      </c>
      <c r="I51" s="42">
        <v>102</v>
      </c>
      <c r="J51" s="43">
        <f t="shared" si="0"/>
        <v>2244</v>
      </c>
      <c r="K51" s="43">
        <v>2502</v>
      </c>
      <c r="L51" s="44">
        <f t="shared" si="1"/>
        <v>0.89688249400479614</v>
      </c>
    </row>
    <row r="52" spans="1:12" x14ac:dyDescent="0.3">
      <c r="A52" s="18">
        <v>51</v>
      </c>
      <c r="B52" s="25" t="s">
        <v>36</v>
      </c>
      <c r="C52" s="18">
        <v>2</v>
      </c>
      <c r="D52" s="25" t="s">
        <v>41</v>
      </c>
      <c r="E52" s="25" t="s">
        <v>75</v>
      </c>
      <c r="F52" s="25" t="s">
        <v>39</v>
      </c>
      <c r="G52" s="25" t="s">
        <v>72</v>
      </c>
      <c r="H52" s="40">
        <v>35</v>
      </c>
      <c r="I52" s="25">
        <v>51</v>
      </c>
      <c r="J52" s="40">
        <f t="shared" si="0"/>
        <v>1785</v>
      </c>
      <c r="K52" s="40">
        <v>1928</v>
      </c>
      <c r="L52" s="27">
        <f t="shared" si="1"/>
        <v>0.92582987551867224</v>
      </c>
    </row>
    <row r="53" spans="1:12" x14ac:dyDescent="0.3">
      <c r="A53" s="41">
        <v>52</v>
      </c>
      <c r="B53" s="42" t="s">
        <v>36</v>
      </c>
      <c r="C53" s="41">
        <v>2</v>
      </c>
      <c r="D53" s="42" t="s">
        <v>41</v>
      </c>
      <c r="E53" s="42" t="s">
        <v>75</v>
      </c>
      <c r="F53" s="42" t="s">
        <v>47</v>
      </c>
      <c r="G53" s="42" t="s">
        <v>70</v>
      </c>
      <c r="H53" s="43">
        <v>15</v>
      </c>
      <c r="I53" s="42">
        <v>79</v>
      </c>
      <c r="J53" s="43">
        <f t="shared" si="0"/>
        <v>1185</v>
      </c>
      <c r="K53" s="43">
        <v>1226</v>
      </c>
      <c r="L53" s="44">
        <f t="shared" si="1"/>
        <v>0.96655791190864604</v>
      </c>
    </row>
    <row r="54" spans="1:12" x14ac:dyDescent="0.3">
      <c r="A54" s="18">
        <v>53</v>
      </c>
      <c r="B54" s="25" t="s">
        <v>36</v>
      </c>
      <c r="C54" s="18">
        <v>2</v>
      </c>
      <c r="D54" s="25" t="s">
        <v>41</v>
      </c>
      <c r="E54" s="25" t="s">
        <v>75</v>
      </c>
      <c r="F54" s="25" t="s">
        <v>35</v>
      </c>
      <c r="G54" s="25" t="s">
        <v>71</v>
      </c>
      <c r="H54" s="40">
        <v>48</v>
      </c>
      <c r="I54" s="25">
        <v>90</v>
      </c>
      <c r="J54" s="40">
        <f t="shared" si="0"/>
        <v>4320</v>
      </c>
      <c r="K54" s="40">
        <v>4580</v>
      </c>
      <c r="L54" s="27">
        <f t="shared" si="1"/>
        <v>0.94323144104803491</v>
      </c>
    </row>
    <row r="55" spans="1:12" x14ac:dyDescent="0.3">
      <c r="A55" s="41">
        <v>54</v>
      </c>
      <c r="B55" s="42" t="s">
        <v>36</v>
      </c>
      <c r="C55" s="41">
        <v>2</v>
      </c>
      <c r="D55" s="42" t="s">
        <v>41</v>
      </c>
      <c r="E55" s="42" t="s">
        <v>75</v>
      </c>
      <c r="F55" s="42" t="s">
        <v>55</v>
      </c>
      <c r="G55" s="42" t="s">
        <v>73</v>
      </c>
      <c r="H55" s="43">
        <v>12</v>
      </c>
      <c r="I55" s="42">
        <v>46</v>
      </c>
      <c r="J55" s="43">
        <f t="shared" si="0"/>
        <v>552</v>
      </c>
      <c r="K55" s="43">
        <v>557</v>
      </c>
      <c r="L55" s="44">
        <f t="shared" si="1"/>
        <v>0.99102333931777375</v>
      </c>
    </row>
    <row r="56" spans="1:12" x14ac:dyDescent="0.3">
      <c r="A56" s="18">
        <v>55</v>
      </c>
      <c r="B56" s="25" t="s">
        <v>36</v>
      </c>
      <c r="C56" s="18">
        <v>2</v>
      </c>
      <c r="D56" s="25" t="s">
        <v>49</v>
      </c>
      <c r="E56" s="25" t="s">
        <v>76</v>
      </c>
      <c r="F56" s="25" t="s">
        <v>51</v>
      </c>
      <c r="G56" s="25" t="s">
        <v>70</v>
      </c>
      <c r="H56" s="40">
        <v>8.5</v>
      </c>
      <c r="I56" s="25">
        <v>99</v>
      </c>
      <c r="J56" s="40">
        <f t="shared" si="0"/>
        <v>841.5</v>
      </c>
      <c r="K56" s="40">
        <v>958</v>
      </c>
      <c r="L56" s="27">
        <f t="shared" si="1"/>
        <v>0.87839248434237993</v>
      </c>
    </row>
    <row r="57" spans="1:12" x14ac:dyDescent="0.3">
      <c r="A57" s="41">
        <v>56</v>
      </c>
      <c r="B57" s="42" t="s">
        <v>36</v>
      </c>
      <c r="C57" s="41">
        <v>2</v>
      </c>
      <c r="D57" s="42" t="s">
        <v>49</v>
      </c>
      <c r="E57" s="42" t="s">
        <v>76</v>
      </c>
      <c r="F57" s="42" t="s">
        <v>43</v>
      </c>
      <c r="G57" s="42" t="s">
        <v>71</v>
      </c>
      <c r="H57" s="43">
        <v>22</v>
      </c>
      <c r="I57" s="42">
        <v>90</v>
      </c>
      <c r="J57" s="43">
        <f t="shared" si="0"/>
        <v>1980</v>
      </c>
      <c r="K57" s="43">
        <v>1912</v>
      </c>
      <c r="L57" s="44">
        <f t="shared" si="1"/>
        <v>1.0355648535564854</v>
      </c>
    </row>
    <row r="58" spans="1:12" x14ac:dyDescent="0.3">
      <c r="A58" s="18">
        <v>57</v>
      </c>
      <c r="B58" s="25" t="s">
        <v>36</v>
      </c>
      <c r="C58" s="18">
        <v>2</v>
      </c>
      <c r="D58" s="25" t="s">
        <v>49</v>
      </c>
      <c r="E58" s="25" t="s">
        <v>76</v>
      </c>
      <c r="F58" s="25" t="s">
        <v>39</v>
      </c>
      <c r="G58" s="25" t="s">
        <v>72</v>
      </c>
      <c r="H58" s="40">
        <v>35</v>
      </c>
      <c r="I58" s="25">
        <v>54</v>
      </c>
      <c r="J58" s="40">
        <f t="shared" si="0"/>
        <v>1890</v>
      </c>
      <c r="K58" s="40">
        <v>1785</v>
      </c>
      <c r="L58" s="27">
        <f t="shared" si="1"/>
        <v>1.0588235294117647</v>
      </c>
    </row>
    <row r="59" spans="1:12" x14ac:dyDescent="0.3">
      <c r="A59" s="41">
        <v>58</v>
      </c>
      <c r="B59" s="42" t="s">
        <v>36</v>
      </c>
      <c r="C59" s="41">
        <v>2</v>
      </c>
      <c r="D59" s="42" t="s">
        <v>49</v>
      </c>
      <c r="E59" s="42" t="s">
        <v>76</v>
      </c>
      <c r="F59" s="42" t="s">
        <v>47</v>
      </c>
      <c r="G59" s="42" t="s">
        <v>70</v>
      </c>
      <c r="H59" s="43">
        <v>15</v>
      </c>
      <c r="I59" s="42">
        <v>75</v>
      </c>
      <c r="J59" s="43">
        <f t="shared" si="0"/>
        <v>1125</v>
      </c>
      <c r="K59" s="43">
        <v>1257</v>
      </c>
      <c r="L59" s="44">
        <f t="shared" si="1"/>
        <v>0.8949880668257757</v>
      </c>
    </row>
    <row r="60" spans="1:12" x14ac:dyDescent="0.3">
      <c r="A60" s="18">
        <v>59</v>
      </c>
      <c r="B60" s="25" t="s">
        <v>36</v>
      </c>
      <c r="C60" s="18">
        <v>2</v>
      </c>
      <c r="D60" s="25" t="s">
        <v>49</v>
      </c>
      <c r="E60" s="25" t="s">
        <v>76</v>
      </c>
      <c r="F60" s="25" t="s">
        <v>35</v>
      </c>
      <c r="G60" s="25" t="s">
        <v>71</v>
      </c>
      <c r="H60" s="40">
        <v>48</v>
      </c>
      <c r="I60" s="25">
        <v>82</v>
      </c>
      <c r="J60" s="40">
        <f t="shared" si="0"/>
        <v>3936</v>
      </c>
      <c r="K60" s="40">
        <v>4171</v>
      </c>
      <c r="L60" s="27">
        <f t="shared" si="1"/>
        <v>0.94365859506113636</v>
      </c>
    </row>
    <row r="61" spans="1:12" x14ac:dyDescent="0.3">
      <c r="A61" s="41">
        <v>60</v>
      </c>
      <c r="B61" s="42" t="s">
        <v>36</v>
      </c>
      <c r="C61" s="41">
        <v>2</v>
      </c>
      <c r="D61" s="42" t="s">
        <v>49</v>
      </c>
      <c r="E61" s="42" t="s">
        <v>76</v>
      </c>
      <c r="F61" s="42" t="s">
        <v>55</v>
      </c>
      <c r="G61" s="42" t="s">
        <v>73</v>
      </c>
      <c r="H61" s="43">
        <v>12</v>
      </c>
      <c r="I61" s="42">
        <v>48</v>
      </c>
      <c r="J61" s="43">
        <f t="shared" si="0"/>
        <v>576</v>
      </c>
      <c r="K61" s="43">
        <v>540</v>
      </c>
      <c r="L61" s="44">
        <f t="shared" si="1"/>
        <v>1.0666666666666667</v>
      </c>
    </row>
    <row r="62" spans="1:12" x14ac:dyDescent="0.3">
      <c r="A62" s="18">
        <v>61</v>
      </c>
      <c r="B62" s="25" t="s">
        <v>36</v>
      </c>
      <c r="C62" s="18">
        <v>2</v>
      </c>
      <c r="D62" s="25" t="s">
        <v>53</v>
      </c>
      <c r="E62" s="25" t="s">
        <v>77</v>
      </c>
      <c r="F62" s="25" t="s">
        <v>51</v>
      </c>
      <c r="G62" s="25" t="s">
        <v>70</v>
      </c>
      <c r="H62" s="40">
        <v>8.5</v>
      </c>
      <c r="I62" s="25">
        <v>97</v>
      </c>
      <c r="J62" s="40">
        <f t="shared" si="0"/>
        <v>824.5</v>
      </c>
      <c r="K62" s="40">
        <v>853</v>
      </c>
      <c r="L62" s="27">
        <f t="shared" si="1"/>
        <v>0.96658851113716293</v>
      </c>
    </row>
    <row r="63" spans="1:12" x14ac:dyDescent="0.3">
      <c r="A63" s="41">
        <v>62</v>
      </c>
      <c r="B63" s="42" t="s">
        <v>36</v>
      </c>
      <c r="C63" s="41">
        <v>2</v>
      </c>
      <c r="D63" s="42" t="s">
        <v>53</v>
      </c>
      <c r="E63" s="42" t="s">
        <v>77</v>
      </c>
      <c r="F63" s="42" t="s">
        <v>43</v>
      </c>
      <c r="G63" s="42" t="s">
        <v>71</v>
      </c>
      <c r="H63" s="43">
        <v>22</v>
      </c>
      <c r="I63" s="42">
        <v>78</v>
      </c>
      <c r="J63" s="43">
        <f t="shared" si="0"/>
        <v>1716</v>
      </c>
      <c r="K63" s="43">
        <v>1772</v>
      </c>
      <c r="L63" s="44">
        <f t="shared" si="1"/>
        <v>0.96839729119638829</v>
      </c>
    </row>
    <row r="64" spans="1:12" x14ac:dyDescent="0.3">
      <c r="A64" s="18">
        <v>63</v>
      </c>
      <c r="B64" s="25" t="s">
        <v>36</v>
      </c>
      <c r="C64" s="18">
        <v>2</v>
      </c>
      <c r="D64" s="25" t="s">
        <v>53</v>
      </c>
      <c r="E64" s="25" t="s">
        <v>77</v>
      </c>
      <c r="F64" s="25" t="s">
        <v>39</v>
      </c>
      <c r="G64" s="25" t="s">
        <v>72</v>
      </c>
      <c r="H64" s="40">
        <v>35</v>
      </c>
      <c r="I64" s="25">
        <v>40</v>
      </c>
      <c r="J64" s="40">
        <f t="shared" si="0"/>
        <v>1400</v>
      </c>
      <c r="K64" s="40">
        <v>1373</v>
      </c>
      <c r="L64" s="27">
        <f t="shared" si="1"/>
        <v>1.0196649672250546</v>
      </c>
    </row>
    <row r="65" spans="1:12" x14ac:dyDescent="0.3">
      <c r="A65" s="41">
        <v>64</v>
      </c>
      <c r="B65" s="42" t="s">
        <v>36</v>
      </c>
      <c r="C65" s="41">
        <v>2</v>
      </c>
      <c r="D65" s="42" t="s">
        <v>53</v>
      </c>
      <c r="E65" s="42" t="s">
        <v>77</v>
      </c>
      <c r="F65" s="42" t="s">
        <v>47</v>
      </c>
      <c r="G65" s="42" t="s">
        <v>70</v>
      </c>
      <c r="H65" s="43">
        <v>15</v>
      </c>
      <c r="I65" s="42">
        <v>51</v>
      </c>
      <c r="J65" s="43">
        <f t="shared" si="0"/>
        <v>765</v>
      </c>
      <c r="K65" s="43">
        <v>866</v>
      </c>
      <c r="L65" s="44">
        <f t="shared" si="1"/>
        <v>0.88337182448036955</v>
      </c>
    </row>
    <row r="66" spans="1:12" x14ac:dyDescent="0.3">
      <c r="A66" s="18">
        <v>65</v>
      </c>
      <c r="B66" s="25" t="s">
        <v>36</v>
      </c>
      <c r="C66" s="18">
        <v>2</v>
      </c>
      <c r="D66" s="25" t="s">
        <v>53</v>
      </c>
      <c r="E66" s="25" t="s">
        <v>77</v>
      </c>
      <c r="F66" s="25" t="s">
        <v>35</v>
      </c>
      <c r="G66" s="25" t="s">
        <v>71</v>
      </c>
      <c r="H66" s="40">
        <v>48</v>
      </c>
      <c r="I66" s="25">
        <v>86</v>
      </c>
      <c r="J66" s="40">
        <f t="shared" ref="J66:J129" si="2">H66*I66</f>
        <v>4128</v>
      </c>
      <c r="K66" s="40">
        <v>4573</v>
      </c>
      <c r="L66" s="27">
        <f t="shared" ref="L66:L129" si="3">J66/K66</f>
        <v>0.90268970041548213</v>
      </c>
    </row>
    <row r="67" spans="1:12" x14ac:dyDescent="0.3">
      <c r="A67" s="41">
        <v>66</v>
      </c>
      <c r="B67" s="42" t="s">
        <v>36</v>
      </c>
      <c r="C67" s="41">
        <v>2</v>
      </c>
      <c r="D67" s="42" t="s">
        <v>53</v>
      </c>
      <c r="E67" s="42" t="s">
        <v>77</v>
      </c>
      <c r="F67" s="42" t="s">
        <v>55</v>
      </c>
      <c r="G67" s="42" t="s">
        <v>73</v>
      </c>
      <c r="H67" s="43">
        <v>12</v>
      </c>
      <c r="I67" s="42">
        <v>39</v>
      </c>
      <c r="J67" s="43">
        <f t="shared" si="2"/>
        <v>468</v>
      </c>
      <c r="K67" s="43">
        <v>428</v>
      </c>
      <c r="L67" s="44">
        <f t="shared" si="3"/>
        <v>1.0934579439252337</v>
      </c>
    </row>
    <row r="68" spans="1:12" x14ac:dyDescent="0.3">
      <c r="A68" s="18">
        <v>67</v>
      </c>
      <c r="B68" s="25" t="s">
        <v>36</v>
      </c>
      <c r="C68" s="18">
        <v>2</v>
      </c>
      <c r="D68" s="25" t="s">
        <v>45</v>
      </c>
      <c r="E68" s="25" t="s">
        <v>78</v>
      </c>
      <c r="F68" s="25" t="s">
        <v>51</v>
      </c>
      <c r="G68" s="25" t="s">
        <v>70</v>
      </c>
      <c r="H68" s="40">
        <v>8.5</v>
      </c>
      <c r="I68" s="25">
        <v>118</v>
      </c>
      <c r="J68" s="40">
        <f t="shared" si="2"/>
        <v>1003</v>
      </c>
      <c r="K68" s="40">
        <v>1140</v>
      </c>
      <c r="L68" s="27">
        <f t="shared" si="3"/>
        <v>0.87982456140350873</v>
      </c>
    </row>
    <row r="69" spans="1:12" x14ac:dyDescent="0.3">
      <c r="A69" s="41">
        <v>68</v>
      </c>
      <c r="B69" s="42" t="s">
        <v>36</v>
      </c>
      <c r="C69" s="41">
        <v>2</v>
      </c>
      <c r="D69" s="42" t="s">
        <v>45</v>
      </c>
      <c r="E69" s="42" t="s">
        <v>78</v>
      </c>
      <c r="F69" s="42" t="s">
        <v>43</v>
      </c>
      <c r="G69" s="42" t="s">
        <v>71</v>
      </c>
      <c r="H69" s="43">
        <v>22</v>
      </c>
      <c r="I69" s="42">
        <v>74</v>
      </c>
      <c r="J69" s="43">
        <f t="shared" si="2"/>
        <v>1628</v>
      </c>
      <c r="K69" s="43">
        <v>1663</v>
      </c>
      <c r="L69" s="44">
        <f t="shared" si="3"/>
        <v>0.97895369813589894</v>
      </c>
    </row>
    <row r="70" spans="1:12" x14ac:dyDescent="0.3">
      <c r="A70" s="18">
        <v>69</v>
      </c>
      <c r="B70" s="25" t="s">
        <v>36</v>
      </c>
      <c r="C70" s="18">
        <v>2</v>
      </c>
      <c r="D70" s="25" t="s">
        <v>45</v>
      </c>
      <c r="E70" s="25" t="s">
        <v>78</v>
      </c>
      <c r="F70" s="25" t="s">
        <v>39</v>
      </c>
      <c r="G70" s="25" t="s">
        <v>72</v>
      </c>
      <c r="H70" s="40">
        <v>35</v>
      </c>
      <c r="I70" s="25">
        <v>49</v>
      </c>
      <c r="J70" s="40">
        <f t="shared" si="2"/>
        <v>1715</v>
      </c>
      <c r="K70" s="40">
        <v>1870</v>
      </c>
      <c r="L70" s="27">
        <f t="shared" si="3"/>
        <v>0.91711229946524064</v>
      </c>
    </row>
    <row r="71" spans="1:12" x14ac:dyDescent="0.3">
      <c r="A71" s="41">
        <v>70</v>
      </c>
      <c r="B71" s="42" t="s">
        <v>36</v>
      </c>
      <c r="C71" s="41">
        <v>2</v>
      </c>
      <c r="D71" s="42" t="s">
        <v>45</v>
      </c>
      <c r="E71" s="42" t="s">
        <v>78</v>
      </c>
      <c r="F71" s="42" t="s">
        <v>47</v>
      </c>
      <c r="G71" s="42" t="s">
        <v>70</v>
      </c>
      <c r="H71" s="43">
        <v>15</v>
      </c>
      <c r="I71" s="42">
        <v>76</v>
      </c>
      <c r="J71" s="43">
        <f t="shared" si="2"/>
        <v>1140</v>
      </c>
      <c r="K71" s="43">
        <v>1063</v>
      </c>
      <c r="L71" s="44">
        <f t="shared" si="3"/>
        <v>1.0724365004703669</v>
      </c>
    </row>
    <row r="72" spans="1:12" x14ac:dyDescent="0.3">
      <c r="A72" s="18">
        <v>71</v>
      </c>
      <c r="B72" s="25" t="s">
        <v>36</v>
      </c>
      <c r="C72" s="18">
        <v>2</v>
      </c>
      <c r="D72" s="25" t="s">
        <v>45</v>
      </c>
      <c r="E72" s="25" t="s">
        <v>78</v>
      </c>
      <c r="F72" s="25" t="s">
        <v>35</v>
      </c>
      <c r="G72" s="25" t="s">
        <v>71</v>
      </c>
      <c r="H72" s="40">
        <v>48</v>
      </c>
      <c r="I72" s="25">
        <v>91</v>
      </c>
      <c r="J72" s="40">
        <f t="shared" si="2"/>
        <v>4368</v>
      </c>
      <c r="K72" s="40">
        <v>4532</v>
      </c>
      <c r="L72" s="27">
        <f t="shared" si="3"/>
        <v>0.96381288614298322</v>
      </c>
    </row>
    <row r="73" spans="1:12" x14ac:dyDescent="0.3">
      <c r="A73" s="41">
        <v>72</v>
      </c>
      <c r="B73" s="42" t="s">
        <v>36</v>
      </c>
      <c r="C73" s="41">
        <v>2</v>
      </c>
      <c r="D73" s="42" t="s">
        <v>45</v>
      </c>
      <c r="E73" s="42" t="s">
        <v>78</v>
      </c>
      <c r="F73" s="42" t="s">
        <v>55</v>
      </c>
      <c r="G73" s="42" t="s">
        <v>73</v>
      </c>
      <c r="H73" s="43">
        <v>12</v>
      </c>
      <c r="I73" s="42">
        <v>46</v>
      </c>
      <c r="J73" s="43">
        <f t="shared" si="2"/>
        <v>552</v>
      </c>
      <c r="K73" s="43">
        <v>617</v>
      </c>
      <c r="L73" s="44">
        <f t="shared" si="3"/>
        <v>0.89465153970826583</v>
      </c>
    </row>
    <row r="74" spans="1:12" x14ac:dyDescent="0.3">
      <c r="A74" s="18">
        <v>73</v>
      </c>
      <c r="B74" s="25" t="s">
        <v>40</v>
      </c>
      <c r="C74" s="18">
        <v>3</v>
      </c>
      <c r="D74" s="25" t="s">
        <v>19</v>
      </c>
      <c r="E74" s="25" t="s">
        <v>69</v>
      </c>
      <c r="F74" s="25" t="s">
        <v>51</v>
      </c>
      <c r="G74" s="25" t="s">
        <v>70</v>
      </c>
      <c r="H74" s="40">
        <v>8.5</v>
      </c>
      <c r="I74" s="25">
        <v>224</v>
      </c>
      <c r="J74" s="40">
        <f t="shared" si="2"/>
        <v>1904</v>
      </c>
      <c r="K74" s="40">
        <v>1814</v>
      </c>
      <c r="L74" s="27">
        <f t="shared" si="3"/>
        <v>1.0496141124586549</v>
      </c>
    </row>
    <row r="75" spans="1:12" x14ac:dyDescent="0.3">
      <c r="A75" s="41">
        <v>74</v>
      </c>
      <c r="B75" s="42" t="s">
        <v>40</v>
      </c>
      <c r="C75" s="41">
        <v>3</v>
      </c>
      <c r="D75" s="42" t="s">
        <v>19</v>
      </c>
      <c r="E75" s="42" t="s">
        <v>69</v>
      </c>
      <c r="F75" s="42" t="s">
        <v>43</v>
      </c>
      <c r="G75" s="42" t="s">
        <v>71</v>
      </c>
      <c r="H75" s="43">
        <v>22</v>
      </c>
      <c r="I75" s="42">
        <v>185</v>
      </c>
      <c r="J75" s="43">
        <f t="shared" si="2"/>
        <v>4070</v>
      </c>
      <c r="K75" s="43">
        <v>4406</v>
      </c>
      <c r="L75" s="44">
        <f t="shared" si="3"/>
        <v>0.92374035406264188</v>
      </c>
    </row>
    <row r="76" spans="1:12" x14ac:dyDescent="0.3">
      <c r="A76" s="18">
        <v>75</v>
      </c>
      <c r="B76" s="25" t="s">
        <v>40</v>
      </c>
      <c r="C76" s="18">
        <v>3</v>
      </c>
      <c r="D76" s="25" t="s">
        <v>19</v>
      </c>
      <c r="E76" s="25" t="s">
        <v>69</v>
      </c>
      <c r="F76" s="25" t="s">
        <v>39</v>
      </c>
      <c r="G76" s="25" t="s">
        <v>72</v>
      </c>
      <c r="H76" s="40">
        <v>35</v>
      </c>
      <c r="I76" s="25">
        <v>111</v>
      </c>
      <c r="J76" s="40">
        <f t="shared" si="2"/>
        <v>3885</v>
      </c>
      <c r="K76" s="40">
        <v>3799</v>
      </c>
      <c r="L76" s="27">
        <f t="shared" si="3"/>
        <v>1.0226375361937352</v>
      </c>
    </row>
    <row r="77" spans="1:12" x14ac:dyDescent="0.3">
      <c r="A77" s="41">
        <v>76</v>
      </c>
      <c r="B77" s="42" t="s">
        <v>40</v>
      </c>
      <c r="C77" s="41">
        <v>3</v>
      </c>
      <c r="D77" s="42" t="s">
        <v>19</v>
      </c>
      <c r="E77" s="42" t="s">
        <v>69</v>
      </c>
      <c r="F77" s="42" t="s">
        <v>47</v>
      </c>
      <c r="G77" s="42" t="s">
        <v>70</v>
      </c>
      <c r="H77" s="43">
        <v>15</v>
      </c>
      <c r="I77" s="42">
        <v>175</v>
      </c>
      <c r="J77" s="43">
        <f t="shared" si="2"/>
        <v>2625</v>
      </c>
      <c r="K77" s="43">
        <v>2789</v>
      </c>
      <c r="L77" s="44">
        <f t="shared" si="3"/>
        <v>0.94119756185012549</v>
      </c>
    </row>
    <row r="78" spans="1:12" x14ac:dyDescent="0.3">
      <c r="A78" s="18">
        <v>77</v>
      </c>
      <c r="B78" s="25" t="s">
        <v>40</v>
      </c>
      <c r="C78" s="18">
        <v>3</v>
      </c>
      <c r="D78" s="25" t="s">
        <v>19</v>
      </c>
      <c r="E78" s="25" t="s">
        <v>69</v>
      </c>
      <c r="F78" s="25" t="s">
        <v>35</v>
      </c>
      <c r="G78" s="25" t="s">
        <v>71</v>
      </c>
      <c r="H78" s="40">
        <v>48</v>
      </c>
      <c r="I78" s="25">
        <v>195</v>
      </c>
      <c r="J78" s="40">
        <f t="shared" si="2"/>
        <v>9360</v>
      </c>
      <c r="K78" s="40">
        <v>9635</v>
      </c>
      <c r="L78" s="27">
        <f t="shared" si="3"/>
        <v>0.97145822522055003</v>
      </c>
    </row>
    <row r="79" spans="1:12" x14ac:dyDescent="0.3">
      <c r="A79" s="41">
        <v>78</v>
      </c>
      <c r="B79" s="42" t="s">
        <v>40</v>
      </c>
      <c r="C79" s="41">
        <v>3</v>
      </c>
      <c r="D79" s="42" t="s">
        <v>19</v>
      </c>
      <c r="E79" s="42" t="s">
        <v>69</v>
      </c>
      <c r="F79" s="42" t="s">
        <v>55</v>
      </c>
      <c r="G79" s="42" t="s">
        <v>73</v>
      </c>
      <c r="H79" s="43">
        <v>12</v>
      </c>
      <c r="I79" s="42">
        <v>94</v>
      </c>
      <c r="J79" s="43">
        <f t="shared" si="2"/>
        <v>1128</v>
      </c>
      <c r="K79" s="43">
        <v>1079</v>
      </c>
      <c r="L79" s="44">
        <f t="shared" si="3"/>
        <v>1.0454124189063949</v>
      </c>
    </row>
    <row r="80" spans="1:12" x14ac:dyDescent="0.3">
      <c r="A80" s="18">
        <v>79</v>
      </c>
      <c r="B80" s="25" t="s">
        <v>40</v>
      </c>
      <c r="C80" s="18">
        <v>3</v>
      </c>
      <c r="D80" s="25" t="s">
        <v>37</v>
      </c>
      <c r="E80" s="25" t="s">
        <v>74</v>
      </c>
      <c r="F80" s="25" t="s">
        <v>51</v>
      </c>
      <c r="G80" s="25" t="s">
        <v>70</v>
      </c>
      <c r="H80" s="40">
        <v>8.5</v>
      </c>
      <c r="I80" s="25">
        <v>145</v>
      </c>
      <c r="J80" s="40">
        <f t="shared" si="2"/>
        <v>1232.5</v>
      </c>
      <c r="K80" s="40">
        <v>1291</v>
      </c>
      <c r="L80" s="27">
        <f t="shared" si="3"/>
        <v>0.95468628969790859</v>
      </c>
    </row>
    <row r="81" spans="1:12" x14ac:dyDescent="0.3">
      <c r="A81" s="41">
        <v>80</v>
      </c>
      <c r="B81" s="42" t="s">
        <v>40</v>
      </c>
      <c r="C81" s="41">
        <v>3</v>
      </c>
      <c r="D81" s="42" t="s">
        <v>37</v>
      </c>
      <c r="E81" s="42" t="s">
        <v>74</v>
      </c>
      <c r="F81" s="42" t="s">
        <v>43</v>
      </c>
      <c r="G81" s="42" t="s">
        <v>71</v>
      </c>
      <c r="H81" s="43">
        <v>22</v>
      </c>
      <c r="I81" s="42">
        <v>112</v>
      </c>
      <c r="J81" s="43">
        <f t="shared" si="2"/>
        <v>2464</v>
      </c>
      <c r="K81" s="43">
        <v>2353</v>
      </c>
      <c r="L81" s="44">
        <f t="shared" si="3"/>
        <v>1.0471738206544836</v>
      </c>
    </row>
    <row r="82" spans="1:12" x14ac:dyDescent="0.3">
      <c r="A82" s="18">
        <v>81</v>
      </c>
      <c r="B82" s="25" t="s">
        <v>40</v>
      </c>
      <c r="C82" s="18">
        <v>3</v>
      </c>
      <c r="D82" s="25" t="s">
        <v>37</v>
      </c>
      <c r="E82" s="25" t="s">
        <v>74</v>
      </c>
      <c r="F82" s="25" t="s">
        <v>39</v>
      </c>
      <c r="G82" s="25" t="s">
        <v>72</v>
      </c>
      <c r="H82" s="40">
        <v>35</v>
      </c>
      <c r="I82" s="25">
        <v>71</v>
      </c>
      <c r="J82" s="40">
        <f t="shared" si="2"/>
        <v>2485</v>
      </c>
      <c r="K82" s="40">
        <v>2629</v>
      </c>
      <c r="L82" s="27">
        <f t="shared" si="3"/>
        <v>0.94522632179535948</v>
      </c>
    </row>
    <row r="83" spans="1:12" x14ac:dyDescent="0.3">
      <c r="A83" s="41">
        <v>82</v>
      </c>
      <c r="B83" s="42" t="s">
        <v>40</v>
      </c>
      <c r="C83" s="41">
        <v>3</v>
      </c>
      <c r="D83" s="42" t="s">
        <v>37</v>
      </c>
      <c r="E83" s="42" t="s">
        <v>74</v>
      </c>
      <c r="F83" s="42" t="s">
        <v>47</v>
      </c>
      <c r="G83" s="42" t="s">
        <v>70</v>
      </c>
      <c r="H83" s="43">
        <v>15</v>
      </c>
      <c r="I83" s="42">
        <v>93</v>
      </c>
      <c r="J83" s="43">
        <f t="shared" si="2"/>
        <v>1395</v>
      </c>
      <c r="K83" s="43">
        <v>1571</v>
      </c>
      <c r="L83" s="44">
        <f t="shared" si="3"/>
        <v>0.88796944621260343</v>
      </c>
    </row>
    <row r="84" spans="1:12" x14ac:dyDescent="0.3">
      <c r="A84" s="18">
        <v>83</v>
      </c>
      <c r="B84" s="25" t="s">
        <v>40</v>
      </c>
      <c r="C84" s="18">
        <v>3</v>
      </c>
      <c r="D84" s="25" t="s">
        <v>37</v>
      </c>
      <c r="E84" s="25" t="s">
        <v>74</v>
      </c>
      <c r="F84" s="25" t="s">
        <v>35</v>
      </c>
      <c r="G84" s="25" t="s">
        <v>71</v>
      </c>
      <c r="H84" s="40">
        <v>48</v>
      </c>
      <c r="I84" s="25">
        <v>146</v>
      </c>
      <c r="J84" s="40">
        <f t="shared" si="2"/>
        <v>7008</v>
      </c>
      <c r="K84" s="40">
        <v>6431</v>
      </c>
      <c r="L84" s="27">
        <f t="shared" si="3"/>
        <v>1.0897216607059554</v>
      </c>
    </row>
    <row r="85" spans="1:12" x14ac:dyDescent="0.3">
      <c r="A85" s="41">
        <v>84</v>
      </c>
      <c r="B85" s="42" t="s">
        <v>40</v>
      </c>
      <c r="C85" s="41">
        <v>3</v>
      </c>
      <c r="D85" s="42" t="s">
        <v>37</v>
      </c>
      <c r="E85" s="42" t="s">
        <v>74</v>
      </c>
      <c r="F85" s="42" t="s">
        <v>55</v>
      </c>
      <c r="G85" s="42" t="s">
        <v>73</v>
      </c>
      <c r="H85" s="43">
        <v>12</v>
      </c>
      <c r="I85" s="42">
        <v>65</v>
      </c>
      <c r="J85" s="43">
        <f t="shared" si="2"/>
        <v>780</v>
      </c>
      <c r="K85" s="43">
        <v>832</v>
      </c>
      <c r="L85" s="44">
        <f t="shared" si="3"/>
        <v>0.9375</v>
      </c>
    </row>
    <row r="86" spans="1:12" x14ac:dyDescent="0.3">
      <c r="A86" s="18">
        <v>85</v>
      </c>
      <c r="B86" s="25" t="s">
        <v>40</v>
      </c>
      <c r="C86" s="18">
        <v>3</v>
      </c>
      <c r="D86" s="25" t="s">
        <v>41</v>
      </c>
      <c r="E86" s="25" t="s">
        <v>75</v>
      </c>
      <c r="F86" s="25" t="s">
        <v>51</v>
      </c>
      <c r="G86" s="25" t="s">
        <v>70</v>
      </c>
      <c r="H86" s="40">
        <v>8.5</v>
      </c>
      <c r="I86" s="25">
        <v>116</v>
      </c>
      <c r="J86" s="40">
        <f t="shared" si="2"/>
        <v>986</v>
      </c>
      <c r="K86" s="40">
        <v>920</v>
      </c>
      <c r="L86" s="27">
        <f t="shared" si="3"/>
        <v>1.0717391304347825</v>
      </c>
    </row>
    <row r="87" spans="1:12" x14ac:dyDescent="0.3">
      <c r="A87" s="41">
        <v>86</v>
      </c>
      <c r="B87" s="42" t="s">
        <v>40</v>
      </c>
      <c r="C87" s="41">
        <v>3</v>
      </c>
      <c r="D87" s="42" t="s">
        <v>41</v>
      </c>
      <c r="E87" s="42" t="s">
        <v>75</v>
      </c>
      <c r="F87" s="42" t="s">
        <v>43</v>
      </c>
      <c r="G87" s="42" t="s">
        <v>71</v>
      </c>
      <c r="H87" s="43">
        <v>22</v>
      </c>
      <c r="I87" s="42">
        <v>115</v>
      </c>
      <c r="J87" s="43">
        <f t="shared" si="2"/>
        <v>2530</v>
      </c>
      <c r="K87" s="43">
        <v>2638</v>
      </c>
      <c r="L87" s="44">
        <f t="shared" si="3"/>
        <v>0.95905989385898405</v>
      </c>
    </row>
    <row r="88" spans="1:12" x14ac:dyDescent="0.3">
      <c r="A88" s="18">
        <v>87</v>
      </c>
      <c r="B88" s="25" t="s">
        <v>40</v>
      </c>
      <c r="C88" s="18">
        <v>3</v>
      </c>
      <c r="D88" s="25" t="s">
        <v>41</v>
      </c>
      <c r="E88" s="25" t="s">
        <v>75</v>
      </c>
      <c r="F88" s="25" t="s">
        <v>39</v>
      </c>
      <c r="G88" s="25" t="s">
        <v>72</v>
      </c>
      <c r="H88" s="40">
        <v>35</v>
      </c>
      <c r="I88" s="25">
        <v>67</v>
      </c>
      <c r="J88" s="40">
        <f t="shared" si="2"/>
        <v>2345</v>
      </c>
      <c r="K88" s="40">
        <v>2570</v>
      </c>
      <c r="L88" s="27">
        <f t="shared" si="3"/>
        <v>0.91245136186770426</v>
      </c>
    </row>
    <row r="89" spans="1:12" x14ac:dyDescent="0.3">
      <c r="A89" s="41">
        <v>88</v>
      </c>
      <c r="B89" s="42" t="s">
        <v>40</v>
      </c>
      <c r="C89" s="41">
        <v>3</v>
      </c>
      <c r="D89" s="42" t="s">
        <v>41</v>
      </c>
      <c r="E89" s="42" t="s">
        <v>75</v>
      </c>
      <c r="F89" s="42" t="s">
        <v>47</v>
      </c>
      <c r="G89" s="42" t="s">
        <v>70</v>
      </c>
      <c r="H89" s="43">
        <v>15</v>
      </c>
      <c r="I89" s="42">
        <v>92</v>
      </c>
      <c r="J89" s="43">
        <f t="shared" si="2"/>
        <v>1380</v>
      </c>
      <c r="K89" s="43">
        <v>1308</v>
      </c>
      <c r="L89" s="44">
        <f t="shared" si="3"/>
        <v>1.0550458715596329</v>
      </c>
    </row>
    <row r="90" spans="1:12" x14ac:dyDescent="0.3">
      <c r="A90" s="18">
        <v>89</v>
      </c>
      <c r="B90" s="25" t="s">
        <v>40</v>
      </c>
      <c r="C90" s="18">
        <v>3</v>
      </c>
      <c r="D90" s="25" t="s">
        <v>41</v>
      </c>
      <c r="E90" s="25" t="s">
        <v>75</v>
      </c>
      <c r="F90" s="25" t="s">
        <v>35</v>
      </c>
      <c r="G90" s="25" t="s">
        <v>71</v>
      </c>
      <c r="H90" s="40">
        <v>48</v>
      </c>
      <c r="I90" s="25">
        <v>97</v>
      </c>
      <c r="J90" s="40">
        <f t="shared" si="2"/>
        <v>4656</v>
      </c>
      <c r="K90" s="40">
        <v>4692</v>
      </c>
      <c r="L90" s="27">
        <f t="shared" si="3"/>
        <v>0.99232736572890023</v>
      </c>
    </row>
    <row r="91" spans="1:12" x14ac:dyDescent="0.3">
      <c r="A91" s="41">
        <v>90</v>
      </c>
      <c r="B91" s="42" t="s">
        <v>40</v>
      </c>
      <c r="C91" s="41">
        <v>3</v>
      </c>
      <c r="D91" s="42" t="s">
        <v>41</v>
      </c>
      <c r="E91" s="42" t="s">
        <v>75</v>
      </c>
      <c r="F91" s="42" t="s">
        <v>55</v>
      </c>
      <c r="G91" s="42" t="s">
        <v>73</v>
      </c>
      <c r="H91" s="43">
        <v>12</v>
      </c>
      <c r="I91" s="42">
        <v>58</v>
      </c>
      <c r="J91" s="43">
        <f t="shared" si="2"/>
        <v>696</v>
      </c>
      <c r="K91" s="43">
        <v>708</v>
      </c>
      <c r="L91" s="44">
        <f t="shared" si="3"/>
        <v>0.98305084745762716</v>
      </c>
    </row>
    <row r="92" spans="1:12" x14ac:dyDescent="0.3">
      <c r="A92" s="18">
        <v>91</v>
      </c>
      <c r="B92" s="25" t="s">
        <v>40</v>
      </c>
      <c r="C92" s="18">
        <v>3</v>
      </c>
      <c r="D92" s="25" t="s">
        <v>49</v>
      </c>
      <c r="E92" s="25" t="s">
        <v>76</v>
      </c>
      <c r="F92" s="25" t="s">
        <v>51</v>
      </c>
      <c r="G92" s="25" t="s">
        <v>70</v>
      </c>
      <c r="H92" s="40">
        <v>8.5</v>
      </c>
      <c r="I92" s="25">
        <v>122</v>
      </c>
      <c r="J92" s="40">
        <f t="shared" si="2"/>
        <v>1037</v>
      </c>
      <c r="K92" s="40">
        <v>1108</v>
      </c>
      <c r="L92" s="27">
        <f t="shared" si="3"/>
        <v>0.9359205776173285</v>
      </c>
    </row>
    <row r="93" spans="1:12" x14ac:dyDescent="0.3">
      <c r="A93" s="41">
        <v>92</v>
      </c>
      <c r="B93" s="42" t="s">
        <v>40</v>
      </c>
      <c r="C93" s="41">
        <v>3</v>
      </c>
      <c r="D93" s="42" t="s">
        <v>49</v>
      </c>
      <c r="E93" s="42" t="s">
        <v>76</v>
      </c>
      <c r="F93" s="42" t="s">
        <v>43</v>
      </c>
      <c r="G93" s="42" t="s">
        <v>71</v>
      </c>
      <c r="H93" s="43">
        <v>22</v>
      </c>
      <c r="I93" s="42">
        <v>105</v>
      </c>
      <c r="J93" s="43">
        <f t="shared" si="2"/>
        <v>2310</v>
      </c>
      <c r="K93" s="43">
        <v>2136</v>
      </c>
      <c r="L93" s="44">
        <f t="shared" si="3"/>
        <v>1.0814606741573034</v>
      </c>
    </row>
    <row r="94" spans="1:12" x14ac:dyDescent="0.3">
      <c r="A94" s="18">
        <v>93</v>
      </c>
      <c r="B94" s="25" t="s">
        <v>40</v>
      </c>
      <c r="C94" s="18">
        <v>3</v>
      </c>
      <c r="D94" s="25" t="s">
        <v>49</v>
      </c>
      <c r="E94" s="25" t="s">
        <v>76</v>
      </c>
      <c r="F94" s="25" t="s">
        <v>39</v>
      </c>
      <c r="G94" s="25" t="s">
        <v>72</v>
      </c>
      <c r="H94" s="40">
        <v>35</v>
      </c>
      <c r="I94" s="25">
        <v>59</v>
      </c>
      <c r="J94" s="40">
        <f t="shared" si="2"/>
        <v>2065</v>
      </c>
      <c r="K94" s="40">
        <v>2034</v>
      </c>
      <c r="L94" s="27">
        <f t="shared" si="3"/>
        <v>1.0152409046214357</v>
      </c>
    </row>
    <row r="95" spans="1:12" x14ac:dyDescent="0.3">
      <c r="A95" s="41">
        <v>94</v>
      </c>
      <c r="B95" s="42" t="s">
        <v>40</v>
      </c>
      <c r="C95" s="41">
        <v>3</v>
      </c>
      <c r="D95" s="42" t="s">
        <v>49</v>
      </c>
      <c r="E95" s="42" t="s">
        <v>76</v>
      </c>
      <c r="F95" s="42" t="s">
        <v>47</v>
      </c>
      <c r="G95" s="42" t="s">
        <v>70</v>
      </c>
      <c r="H95" s="43">
        <v>15</v>
      </c>
      <c r="I95" s="42">
        <v>84</v>
      </c>
      <c r="J95" s="43">
        <f t="shared" si="2"/>
        <v>1260</v>
      </c>
      <c r="K95" s="43">
        <v>1212</v>
      </c>
      <c r="L95" s="44">
        <f t="shared" si="3"/>
        <v>1.0396039603960396</v>
      </c>
    </row>
    <row r="96" spans="1:12" x14ac:dyDescent="0.3">
      <c r="A96" s="18">
        <v>95</v>
      </c>
      <c r="B96" s="25" t="s">
        <v>40</v>
      </c>
      <c r="C96" s="18">
        <v>3</v>
      </c>
      <c r="D96" s="25" t="s">
        <v>49</v>
      </c>
      <c r="E96" s="25" t="s">
        <v>76</v>
      </c>
      <c r="F96" s="25" t="s">
        <v>35</v>
      </c>
      <c r="G96" s="25" t="s">
        <v>71</v>
      </c>
      <c r="H96" s="40">
        <v>48</v>
      </c>
      <c r="I96" s="25">
        <v>90</v>
      </c>
      <c r="J96" s="40">
        <f t="shared" si="2"/>
        <v>4320</v>
      </c>
      <c r="K96" s="40">
        <v>4373</v>
      </c>
      <c r="L96" s="27">
        <f t="shared" si="3"/>
        <v>0.98788017379373427</v>
      </c>
    </row>
    <row r="97" spans="1:12" x14ac:dyDescent="0.3">
      <c r="A97" s="41">
        <v>96</v>
      </c>
      <c r="B97" s="42" t="s">
        <v>40</v>
      </c>
      <c r="C97" s="41">
        <v>3</v>
      </c>
      <c r="D97" s="42" t="s">
        <v>49</v>
      </c>
      <c r="E97" s="42" t="s">
        <v>76</v>
      </c>
      <c r="F97" s="42" t="s">
        <v>55</v>
      </c>
      <c r="G97" s="42" t="s">
        <v>73</v>
      </c>
      <c r="H97" s="43">
        <v>12</v>
      </c>
      <c r="I97" s="42">
        <v>52</v>
      </c>
      <c r="J97" s="43">
        <f t="shared" si="2"/>
        <v>624</v>
      </c>
      <c r="K97" s="43">
        <v>605</v>
      </c>
      <c r="L97" s="44">
        <f t="shared" si="3"/>
        <v>1.0314049586776859</v>
      </c>
    </row>
    <row r="98" spans="1:12" x14ac:dyDescent="0.3">
      <c r="A98" s="18">
        <v>97</v>
      </c>
      <c r="B98" s="25" t="s">
        <v>40</v>
      </c>
      <c r="C98" s="18">
        <v>3</v>
      </c>
      <c r="D98" s="25" t="s">
        <v>53</v>
      </c>
      <c r="E98" s="25" t="s">
        <v>77</v>
      </c>
      <c r="F98" s="25" t="s">
        <v>51</v>
      </c>
      <c r="G98" s="25" t="s">
        <v>70</v>
      </c>
      <c r="H98" s="40">
        <v>8.5</v>
      </c>
      <c r="I98" s="25">
        <v>94</v>
      </c>
      <c r="J98" s="40">
        <f t="shared" si="2"/>
        <v>799</v>
      </c>
      <c r="K98" s="40">
        <v>904</v>
      </c>
      <c r="L98" s="27">
        <f t="shared" si="3"/>
        <v>0.88384955752212391</v>
      </c>
    </row>
    <row r="99" spans="1:12" x14ac:dyDescent="0.3">
      <c r="A99" s="41">
        <v>98</v>
      </c>
      <c r="B99" s="42" t="s">
        <v>40</v>
      </c>
      <c r="C99" s="41">
        <v>3</v>
      </c>
      <c r="D99" s="42" t="s">
        <v>53</v>
      </c>
      <c r="E99" s="42" t="s">
        <v>77</v>
      </c>
      <c r="F99" s="42" t="s">
        <v>43</v>
      </c>
      <c r="G99" s="42" t="s">
        <v>71</v>
      </c>
      <c r="H99" s="43">
        <v>22</v>
      </c>
      <c r="I99" s="42">
        <v>80</v>
      </c>
      <c r="J99" s="43">
        <f t="shared" si="2"/>
        <v>1760</v>
      </c>
      <c r="K99" s="43">
        <v>1963</v>
      </c>
      <c r="L99" s="44">
        <f t="shared" si="3"/>
        <v>0.89658685685175754</v>
      </c>
    </row>
    <row r="100" spans="1:12" x14ac:dyDescent="0.3">
      <c r="A100" s="18">
        <v>99</v>
      </c>
      <c r="B100" s="25" t="s">
        <v>40</v>
      </c>
      <c r="C100" s="18">
        <v>3</v>
      </c>
      <c r="D100" s="25" t="s">
        <v>53</v>
      </c>
      <c r="E100" s="25" t="s">
        <v>77</v>
      </c>
      <c r="F100" s="25" t="s">
        <v>39</v>
      </c>
      <c r="G100" s="25" t="s">
        <v>72</v>
      </c>
      <c r="H100" s="40">
        <v>35</v>
      </c>
      <c r="I100" s="25">
        <v>55</v>
      </c>
      <c r="J100" s="40">
        <f t="shared" si="2"/>
        <v>1925</v>
      </c>
      <c r="K100" s="40">
        <v>1757</v>
      </c>
      <c r="L100" s="27">
        <f t="shared" si="3"/>
        <v>1.095617529880478</v>
      </c>
    </row>
    <row r="101" spans="1:12" x14ac:dyDescent="0.3">
      <c r="A101" s="41">
        <v>100</v>
      </c>
      <c r="B101" s="42" t="s">
        <v>40</v>
      </c>
      <c r="C101" s="41">
        <v>3</v>
      </c>
      <c r="D101" s="42" t="s">
        <v>53</v>
      </c>
      <c r="E101" s="42" t="s">
        <v>77</v>
      </c>
      <c r="F101" s="42" t="s">
        <v>47</v>
      </c>
      <c r="G101" s="42" t="s">
        <v>70</v>
      </c>
      <c r="H101" s="43">
        <v>15</v>
      </c>
      <c r="I101" s="42">
        <v>78</v>
      </c>
      <c r="J101" s="43">
        <f t="shared" si="2"/>
        <v>1170</v>
      </c>
      <c r="K101" s="43">
        <v>1298</v>
      </c>
      <c r="L101" s="44">
        <f t="shared" si="3"/>
        <v>0.90138674884437597</v>
      </c>
    </row>
    <row r="102" spans="1:12" x14ac:dyDescent="0.3">
      <c r="A102" s="18">
        <v>101</v>
      </c>
      <c r="B102" s="25" t="s">
        <v>40</v>
      </c>
      <c r="C102" s="18">
        <v>3</v>
      </c>
      <c r="D102" s="25" t="s">
        <v>53</v>
      </c>
      <c r="E102" s="25" t="s">
        <v>77</v>
      </c>
      <c r="F102" s="25" t="s">
        <v>35</v>
      </c>
      <c r="G102" s="25" t="s">
        <v>71</v>
      </c>
      <c r="H102" s="40">
        <v>48</v>
      </c>
      <c r="I102" s="25">
        <v>100</v>
      </c>
      <c r="J102" s="40">
        <f t="shared" si="2"/>
        <v>4800</v>
      </c>
      <c r="K102" s="40">
        <v>5432</v>
      </c>
      <c r="L102" s="27">
        <f t="shared" si="3"/>
        <v>0.88365243004418259</v>
      </c>
    </row>
    <row r="103" spans="1:12" x14ac:dyDescent="0.3">
      <c r="A103" s="41">
        <v>102</v>
      </c>
      <c r="B103" s="42" t="s">
        <v>40</v>
      </c>
      <c r="C103" s="41">
        <v>3</v>
      </c>
      <c r="D103" s="42" t="s">
        <v>53</v>
      </c>
      <c r="E103" s="42" t="s">
        <v>77</v>
      </c>
      <c r="F103" s="42" t="s">
        <v>55</v>
      </c>
      <c r="G103" s="42" t="s">
        <v>73</v>
      </c>
      <c r="H103" s="43">
        <v>12</v>
      </c>
      <c r="I103" s="42">
        <v>52</v>
      </c>
      <c r="J103" s="43">
        <f t="shared" si="2"/>
        <v>624</v>
      </c>
      <c r="K103" s="43">
        <v>588</v>
      </c>
      <c r="L103" s="44">
        <f t="shared" si="3"/>
        <v>1.0612244897959184</v>
      </c>
    </row>
    <row r="104" spans="1:12" x14ac:dyDescent="0.3">
      <c r="A104" s="18">
        <v>103</v>
      </c>
      <c r="B104" s="25" t="s">
        <v>40</v>
      </c>
      <c r="C104" s="18">
        <v>3</v>
      </c>
      <c r="D104" s="25" t="s">
        <v>45</v>
      </c>
      <c r="E104" s="25" t="s">
        <v>78</v>
      </c>
      <c r="F104" s="25" t="s">
        <v>51</v>
      </c>
      <c r="G104" s="25" t="s">
        <v>70</v>
      </c>
      <c r="H104" s="40">
        <v>8.5</v>
      </c>
      <c r="I104" s="25">
        <v>120</v>
      </c>
      <c r="J104" s="40">
        <f t="shared" si="2"/>
        <v>1020</v>
      </c>
      <c r="K104" s="40">
        <v>973</v>
      </c>
      <c r="L104" s="27">
        <f t="shared" si="3"/>
        <v>1.0483042137718397</v>
      </c>
    </row>
    <row r="105" spans="1:12" x14ac:dyDescent="0.3">
      <c r="A105" s="41">
        <v>104</v>
      </c>
      <c r="B105" s="42" t="s">
        <v>40</v>
      </c>
      <c r="C105" s="41">
        <v>3</v>
      </c>
      <c r="D105" s="42" t="s">
        <v>45</v>
      </c>
      <c r="E105" s="42" t="s">
        <v>78</v>
      </c>
      <c r="F105" s="42" t="s">
        <v>43</v>
      </c>
      <c r="G105" s="42" t="s">
        <v>71</v>
      </c>
      <c r="H105" s="43">
        <v>22</v>
      </c>
      <c r="I105" s="42">
        <v>94</v>
      </c>
      <c r="J105" s="43">
        <f t="shared" si="2"/>
        <v>2068</v>
      </c>
      <c r="K105" s="43">
        <v>1892</v>
      </c>
      <c r="L105" s="44">
        <f t="shared" si="3"/>
        <v>1.0930232558139534</v>
      </c>
    </row>
    <row r="106" spans="1:12" x14ac:dyDescent="0.3">
      <c r="A106" s="18">
        <v>105</v>
      </c>
      <c r="B106" s="25" t="s">
        <v>40</v>
      </c>
      <c r="C106" s="18">
        <v>3</v>
      </c>
      <c r="D106" s="25" t="s">
        <v>45</v>
      </c>
      <c r="E106" s="25" t="s">
        <v>78</v>
      </c>
      <c r="F106" s="25" t="s">
        <v>39</v>
      </c>
      <c r="G106" s="25" t="s">
        <v>72</v>
      </c>
      <c r="H106" s="40">
        <v>35</v>
      </c>
      <c r="I106" s="25">
        <v>62</v>
      </c>
      <c r="J106" s="40">
        <f t="shared" si="2"/>
        <v>2170</v>
      </c>
      <c r="K106" s="40">
        <v>2488</v>
      </c>
      <c r="L106" s="27">
        <f t="shared" si="3"/>
        <v>0.87218649517684887</v>
      </c>
    </row>
    <row r="107" spans="1:12" x14ac:dyDescent="0.3">
      <c r="A107" s="41">
        <v>106</v>
      </c>
      <c r="B107" s="42" t="s">
        <v>40</v>
      </c>
      <c r="C107" s="41">
        <v>3</v>
      </c>
      <c r="D107" s="42" t="s">
        <v>45</v>
      </c>
      <c r="E107" s="42" t="s">
        <v>78</v>
      </c>
      <c r="F107" s="42" t="s">
        <v>47</v>
      </c>
      <c r="G107" s="42" t="s">
        <v>70</v>
      </c>
      <c r="H107" s="43">
        <v>15</v>
      </c>
      <c r="I107" s="42">
        <v>75</v>
      </c>
      <c r="J107" s="43">
        <f t="shared" si="2"/>
        <v>1125</v>
      </c>
      <c r="K107" s="43">
        <v>1233</v>
      </c>
      <c r="L107" s="44">
        <f t="shared" si="3"/>
        <v>0.91240875912408759</v>
      </c>
    </row>
    <row r="108" spans="1:12" x14ac:dyDescent="0.3">
      <c r="A108" s="18">
        <v>107</v>
      </c>
      <c r="B108" s="25" t="s">
        <v>40</v>
      </c>
      <c r="C108" s="18">
        <v>3</v>
      </c>
      <c r="D108" s="25" t="s">
        <v>45</v>
      </c>
      <c r="E108" s="25" t="s">
        <v>78</v>
      </c>
      <c r="F108" s="25" t="s">
        <v>35</v>
      </c>
      <c r="G108" s="25" t="s">
        <v>71</v>
      </c>
      <c r="H108" s="40">
        <v>48</v>
      </c>
      <c r="I108" s="25">
        <v>103</v>
      </c>
      <c r="J108" s="40">
        <f t="shared" si="2"/>
        <v>4944</v>
      </c>
      <c r="K108" s="40">
        <v>4972</v>
      </c>
      <c r="L108" s="27">
        <f t="shared" si="3"/>
        <v>0.99436846339501206</v>
      </c>
    </row>
    <row r="109" spans="1:12" x14ac:dyDescent="0.3">
      <c r="A109" s="41">
        <v>108</v>
      </c>
      <c r="B109" s="42" t="s">
        <v>40</v>
      </c>
      <c r="C109" s="41">
        <v>3</v>
      </c>
      <c r="D109" s="42" t="s">
        <v>45</v>
      </c>
      <c r="E109" s="42" t="s">
        <v>78</v>
      </c>
      <c r="F109" s="42" t="s">
        <v>55</v>
      </c>
      <c r="G109" s="42" t="s">
        <v>73</v>
      </c>
      <c r="H109" s="43">
        <v>12</v>
      </c>
      <c r="I109" s="42">
        <v>64</v>
      </c>
      <c r="J109" s="43">
        <f t="shared" si="2"/>
        <v>768</v>
      </c>
      <c r="K109" s="43">
        <v>882</v>
      </c>
      <c r="L109" s="44">
        <f t="shared" si="3"/>
        <v>0.87074829931972786</v>
      </c>
    </row>
    <row r="110" spans="1:12" x14ac:dyDescent="0.3">
      <c r="A110" s="18">
        <v>109</v>
      </c>
      <c r="B110" s="25" t="s">
        <v>44</v>
      </c>
      <c r="C110" s="18">
        <v>4</v>
      </c>
      <c r="D110" s="25" t="s">
        <v>19</v>
      </c>
      <c r="E110" s="25" t="s">
        <v>69</v>
      </c>
      <c r="F110" s="25" t="s">
        <v>51</v>
      </c>
      <c r="G110" s="25" t="s">
        <v>70</v>
      </c>
      <c r="H110" s="40">
        <v>8.5</v>
      </c>
      <c r="I110" s="25">
        <v>247</v>
      </c>
      <c r="J110" s="40">
        <f t="shared" si="2"/>
        <v>2099.5</v>
      </c>
      <c r="K110" s="40">
        <v>2267</v>
      </c>
      <c r="L110" s="27">
        <f t="shared" si="3"/>
        <v>0.92611380679311861</v>
      </c>
    </row>
    <row r="111" spans="1:12" x14ac:dyDescent="0.3">
      <c r="A111" s="41">
        <v>110</v>
      </c>
      <c r="B111" s="42" t="s">
        <v>44</v>
      </c>
      <c r="C111" s="41">
        <v>4</v>
      </c>
      <c r="D111" s="42" t="s">
        <v>19</v>
      </c>
      <c r="E111" s="42" t="s">
        <v>69</v>
      </c>
      <c r="F111" s="42" t="s">
        <v>43</v>
      </c>
      <c r="G111" s="42" t="s">
        <v>71</v>
      </c>
      <c r="H111" s="43">
        <v>22</v>
      </c>
      <c r="I111" s="42">
        <v>174</v>
      </c>
      <c r="J111" s="43">
        <f t="shared" si="2"/>
        <v>3828</v>
      </c>
      <c r="K111" s="43">
        <v>3729</v>
      </c>
      <c r="L111" s="44">
        <f t="shared" si="3"/>
        <v>1.0265486725663717</v>
      </c>
    </row>
    <row r="112" spans="1:12" x14ac:dyDescent="0.3">
      <c r="A112" s="18">
        <v>111</v>
      </c>
      <c r="B112" s="25" t="s">
        <v>44</v>
      </c>
      <c r="C112" s="18">
        <v>4</v>
      </c>
      <c r="D112" s="25" t="s">
        <v>19</v>
      </c>
      <c r="E112" s="25" t="s">
        <v>69</v>
      </c>
      <c r="F112" s="25" t="s">
        <v>39</v>
      </c>
      <c r="G112" s="25" t="s">
        <v>72</v>
      </c>
      <c r="H112" s="40">
        <v>35</v>
      </c>
      <c r="I112" s="25">
        <v>147</v>
      </c>
      <c r="J112" s="40">
        <f t="shared" si="2"/>
        <v>5145</v>
      </c>
      <c r="K112" s="40">
        <v>5375</v>
      </c>
      <c r="L112" s="27">
        <f t="shared" si="3"/>
        <v>0.95720930232558143</v>
      </c>
    </row>
    <row r="113" spans="1:12" x14ac:dyDescent="0.3">
      <c r="A113" s="41">
        <v>112</v>
      </c>
      <c r="B113" s="42" t="s">
        <v>44</v>
      </c>
      <c r="C113" s="41">
        <v>4</v>
      </c>
      <c r="D113" s="42" t="s">
        <v>19</v>
      </c>
      <c r="E113" s="42" t="s">
        <v>69</v>
      </c>
      <c r="F113" s="42" t="s">
        <v>47</v>
      </c>
      <c r="G113" s="42" t="s">
        <v>70</v>
      </c>
      <c r="H113" s="43">
        <v>15</v>
      </c>
      <c r="I113" s="42">
        <v>164</v>
      </c>
      <c r="J113" s="43">
        <f t="shared" si="2"/>
        <v>2460</v>
      </c>
      <c r="K113" s="43">
        <v>2674</v>
      </c>
      <c r="L113" s="44">
        <f t="shared" si="3"/>
        <v>0.91997008227374721</v>
      </c>
    </row>
    <row r="114" spans="1:12" x14ac:dyDescent="0.3">
      <c r="A114" s="18">
        <v>113</v>
      </c>
      <c r="B114" s="25" t="s">
        <v>44</v>
      </c>
      <c r="C114" s="18">
        <v>4</v>
      </c>
      <c r="D114" s="25" t="s">
        <v>19</v>
      </c>
      <c r="E114" s="25" t="s">
        <v>69</v>
      </c>
      <c r="F114" s="25" t="s">
        <v>35</v>
      </c>
      <c r="G114" s="25" t="s">
        <v>71</v>
      </c>
      <c r="H114" s="40">
        <v>48</v>
      </c>
      <c r="I114" s="25">
        <v>182</v>
      </c>
      <c r="J114" s="40">
        <f t="shared" si="2"/>
        <v>8736</v>
      </c>
      <c r="K114" s="40">
        <v>9138</v>
      </c>
      <c r="L114" s="27">
        <f t="shared" si="3"/>
        <v>0.95600787918581742</v>
      </c>
    </row>
    <row r="115" spans="1:12" x14ac:dyDescent="0.3">
      <c r="A115" s="41">
        <v>114</v>
      </c>
      <c r="B115" s="42" t="s">
        <v>44</v>
      </c>
      <c r="C115" s="41">
        <v>4</v>
      </c>
      <c r="D115" s="42" t="s">
        <v>19</v>
      </c>
      <c r="E115" s="42" t="s">
        <v>69</v>
      </c>
      <c r="F115" s="42" t="s">
        <v>55</v>
      </c>
      <c r="G115" s="42" t="s">
        <v>73</v>
      </c>
      <c r="H115" s="43">
        <v>12</v>
      </c>
      <c r="I115" s="42">
        <v>113</v>
      </c>
      <c r="J115" s="43">
        <f t="shared" si="2"/>
        <v>1356</v>
      </c>
      <c r="K115" s="43">
        <v>1509</v>
      </c>
      <c r="L115" s="44">
        <f t="shared" si="3"/>
        <v>0.89860834990059646</v>
      </c>
    </row>
    <row r="116" spans="1:12" x14ac:dyDescent="0.3">
      <c r="A116" s="18">
        <v>115</v>
      </c>
      <c r="B116" s="25" t="s">
        <v>44</v>
      </c>
      <c r="C116" s="18">
        <v>4</v>
      </c>
      <c r="D116" s="25" t="s">
        <v>37</v>
      </c>
      <c r="E116" s="25" t="s">
        <v>74</v>
      </c>
      <c r="F116" s="25" t="s">
        <v>51</v>
      </c>
      <c r="G116" s="25" t="s">
        <v>70</v>
      </c>
      <c r="H116" s="40">
        <v>8.5</v>
      </c>
      <c r="I116" s="25">
        <v>145</v>
      </c>
      <c r="J116" s="40">
        <f t="shared" si="2"/>
        <v>1232.5</v>
      </c>
      <c r="K116" s="40">
        <v>1405</v>
      </c>
      <c r="L116" s="27">
        <f t="shared" si="3"/>
        <v>0.87722419928825623</v>
      </c>
    </row>
    <row r="117" spans="1:12" x14ac:dyDescent="0.3">
      <c r="A117" s="41">
        <v>116</v>
      </c>
      <c r="B117" s="42" t="s">
        <v>44</v>
      </c>
      <c r="C117" s="41">
        <v>4</v>
      </c>
      <c r="D117" s="42" t="s">
        <v>37</v>
      </c>
      <c r="E117" s="42" t="s">
        <v>74</v>
      </c>
      <c r="F117" s="42" t="s">
        <v>43</v>
      </c>
      <c r="G117" s="42" t="s">
        <v>71</v>
      </c>
      <c r="H117" s="43">
        <v>22</v>
      </c>
      <c r="I117" s="42">
        <v>113</v>
      </c>
      <c r="J117" s="43">
        <f t="shared" si="2"/>
        <v>2486</v>
      </c>
      <c r="K117" s="43">
        <v>2353</v>
      </c>
      <c r="L117" s="44">
        <f t="shared" si="3"/>
        <v>1.0565235869103273</v>
      </c>
    </row>
    <row r="118" spans="1:12" x14ac:dyDescent="0.3">
      <c r="A118" s="18">
        <v>117</v>
      </c>
      <c r="B118" s="25" t="s">
        <v>44</v>
      </c>
      <c r="C118" s="18">
        <v>4</v>
      </c>
      <c r="D118" s="25" t="s">
        <v>37</v>
      </c>
      <c r="E118" s="25" t="s">
        <v>74</v>
      </c>
      <c r="F118" s="25" t="s">
        <v>39</v>
      </c>
      <c r="G118" s="25" t="s">
        <v>72</v>
      </c>
      <c r="H118" s="40">
        <v>35</v>
      </c>
      <c r="I118" s="25">
        <v>88</v>
      </c>
      <c r="J118" s="40">
        <f t="shared" si="2"/>
        <v>3080</v>
      </c>
      <c r="K118" s="40">
        <v>3292</v>
      </c>
      <c r="L118" s="27">
        <f t="shared" si="3"/>
        <v>0.93560145808019446</v>
      </c>
    </row>
    <row r="119" spans="1:12" x14ac:dyDescent="0.3">
      <c r="A119" s="41">
        <v>118</v>
      </c>
      <c r="B119" s="42" t="s">
        <v>44</v>
      </c>
      <c r="C119" s="41">
        <v>4</v>
      </c>
      <c r="D119" s="42" t="s">
        <v>37</v>
      </c>
      <c r="E119" s="42" t="s">
        <v>74</v>
      </c>
      <c r="F119" s="42" t="s">
        <v>47</v>
      </c>
      <c r="G119" s="42" t="s">
        <v>70</v>
      </c>
      <c r="H119" s="43">
        <v>15</v>
      </c>
      <c r="I119" s="42">
        <v>99</v>
      </c>
      <c r="J119" s="43">
        <f t="shared" si="2"/>
        <v>1485</v>
      </c>
      <c r="K119" s="43">
        <v>1381</v>
      </c>
      <c r="L119" s="44">
        <f t="shared" si="3"/>
        <v>1.0753077480086894</v>
      </c>
    </row>
    <row r="120" spans="1:12" x14ac:dyDescent="0.3">
      <c r="A120" s="18">
        <v>119</v>
      </c>
      <c r="B120" s="25" t="s">
        <v>44</v>
      </c>
      <c r="C120" s="18">
        <v>4</v>
      </c>
      <c r="D120" s="25" t="s">
        <v>37</v>
      </c>
      <c r="E120" s="25" t="s">
        <v>74</v>
      </c>
      <c r="F120" s="25" t="s">
        <v>35</v>
      </c>
      <c r="G120" s="25" t="s">
        <v>71</v>
      </c>
      <c r="H120" s="40">
        <v>48</v>
      </c>
      <c r="I120" s="25">
        <v>156</v>
      </c>
      <c r="J120" s="40">
        <f t="shared" si="2"/>
        <v>7488</v>
      </c>
      <c r="K120" s="40">
        <v>7200</v>
      </c>
      <c r="L120" s="27">
        <f t="shared" si="3"/>
        <v>1.04</v>
      </c>
    </row>
    <row r="121" spans="1:12" x14ac:dyDescent="0.3">
      <c r="A121" s="41">
        <v>120</v>
      </c>
      <c r="B121" s="42" t="s">
        <v>44</v>
      </c>
      <c r="C121" s="41">
        <v>4</v>
      </c>
      <c r="D121" s="42" t="s">
        <v>37</v>
      </c>
      <c r="E121" s="42" t="s">
        <v>74</v>
      </c>
      <c r="F121" s="42" t="s">
        <v>55</v>
      </c>
      <c r="G121" s="42" t="s">
        <v>73</v>
      </c>
      <c r="H121" s="43">
        <v>12</v>
      </c>
      <c r="I121" s="42">
        <v>77</v>
      </c>
      <c r="J121" s="43">
        <f t="shared" si="2"/>
        <v>924</v>
      </c>
      <c r="K121" s="43">
        <v>975</v>
      </c>
      <c r="L121" s="44">
        <f t="shared" si="3"/>
        <v>0.94769230769230772</v>
      </c>
    </row>
    <row r="122" spans="1:12" x14ac:dyDescent="0.3">
      <c r="A122" s="18">
        <v>121</v>
      </c>
      <c r="B122" s="25" t="s">
        <v>44</v>
      </c>
      <c r="C122" s="18">
        <v>4</v>
      </c>
      <c r="D122" s="25" t="s">
        <v>41</v>
      </c>
      <c r="E122" s="25" t="s">
        <v>75</v>
      </c>
      <c r="F122" s="25" t="s">
        <v>51</v>
      </c>
      <c r="G122" s="25" t="s">
        <v>70</v>
      </c>
      <c r="H122" s="40">
        <v>8.5</v>
      </c>
      <c r="I122" s="25">
        <v>131</v>
      </c>
      <c r="J122" s="40">
        <f t="shared" si="2"/>
        <v>1113.5</v>
      </c>
      <c r="K122" s="40">
        <v>1165</v>
      </c>
      <c r="L122" s="27">
        <f t="shared" si="3"/>
        <v>0.95579399141630905</v>
      </c>
    </row>
    <row r="123" spans="1:12" x14ac:dyDescent="0.3">
      <c r="A123" s="41">
        <v>122</v>
      </c>
      <c r="B123" s="42" t="s">
        <v>44</v>
      </c>
      <c r="C123" s="41">
        <v>4</v>
      </c>
      <c r="D123" s="42" t="s">
        <v>41</v>
      </c>
      <c r="E123" s="42" t="s">
        <v>75</v>
      </c>
      <c r="F123" s="42" t="s">
        <v>43</v>
      </c>
      <c r="G123" s="42" t="s">
        <v>71</v>
      </c>
      <c r="H123" s="43">
        <v>22</v>
      </c>
      <c r="I123" s="42">
        <v>108</v>
      </c>
      <c r="J123" s="43">
        <f t="shared" si="2"/>
        <v>2376</v>
      </c>
      <c r="K123" s="43">
        <v>2694</v>
      </c>
      <c r="L123" s="44">
        <f t="shared" si="3"/>
        <v>0.8819599109131403</v>
      </c>
    </row>
    <row r="124" spans="1:12" x14ac:dyDescent="0.3">
      <c r="A124" s="18">
        <v>123</v>
      </c>
      <c r="B124" s="25" t="s">
        <v>44</v>
      </c>
      <c r="C124" s="18">
        <v>4</v>
      </c>
      <c r="D124" s="25" t="s">
        <v>41</v>
      </c>
      <c r="E124" s="25" t="s">
        <v>75</v>
      </c>
      <c r="F124" s="25" t="s">
        <v>39</v>
      </c>
      <c r="G124" s="25" t="s">
        <v>72</v>
      </c>
      <c r="H124" s="40">
        <v>35</v>
      </c>
      <c r="I124" s="25">
        <v>65</v>
      </c>
      <c r="J124" s="40">
        <f t="shared" si="2"/>
        <v>2275</v>
      </c>
      <c r="K124" s="40">
        <v>2455</v>
      </c>
      <c r="L124" s="27">
        <f t="shared" si="3"/>
        <v>0.92668024439918528</v>
      </c>
    </row>
    <row r="125" spans="1:12" x14ac:dyDescent="0.3">
      <c r="A125" s="41">
        <v>124</v>
      </c>
      <c r="B125" s="42" t="s">
        <v>44</v>
      </c>
      <c r="C125" s="41">
        <v>4</v>
      </c>
      <c r="D125" s="42" t="s">
        <v>41</v>
      </c>
      <c r="E125" s="42" t="s">
        <v>75</v>
      </c>
      <c r="F125" s="42" t="s">
        <v>47</v>
      </c>
      <c r="G125" s="42" t="s">
        <v>70</v>
      </c>
      <c r="H125" s="43">
        <v>15</v>
      </c>
      <c r="I125" s="42">
        <v>82</v>
      </c>
      <c r="J125" s="43">
        <f t="shared" si="2"/>
        <v>1230</v>
      </c>
      <c r="K125" s="43">
        <v>1229</v>
      </c>
      <c r="L125" s="44">
        <f t="shared" si="3"/>
        <v>1.000813669650122</v>
      </c>
    </row>
    <row r="126" spans="1:12" x14ac:dyDescent="0.3">
      <c r="A126" s="18">
        <v>125</v>
      </c>
      <c r="B126" s="25" t="s">
        <v>44</v>
      </c>
      <c r="C126" s="18">
        <v>4</v>
      </c>
      <c r="D126" s="25" t="s">
        <v>41</v>
      </c>
      <c r="E126" s="25" t="s">
        <v>75</v>
      </c>
      <c r="F126" s="25" t="s">
        <v>35</v>
      </c>
      <c r="G126" s="25" t="s">
        <v>71</v>
      </c>
      <c r="H126" s="40">
        <v>48</v>
      </c>
      <c r="I126" s="25">
        <v>123</v>
      </c>
      <c r="J126" s="40">
        <f t="shared" si="2"/>
        <v>5904</v>
      </c>
      <c r="K126" s="40">
        <v>5756</v>
      </c>
      <c r="L126" s="27">
        <f t="shared" si="3"/>
        <v>1.025712300208478</v>
      </c>
    </row>
    <row r="127" spans="1:12" x14ac:dyDescent="0.3">
      <c r="A127" s="41">
        <v>126</v>
      </c>
      <c r="B127" s="42" t="s">
        <v>44</v>
      </c>
      <c r="C127" s="41">
        <v>4</v>
      </c>
      <c r="D127" s="42" t="s">
        <v>41</v>
      </c>
      <c r="E127" s="42" t="s">
        <v>75</v>
      </c>
      <c r="F127" s="42" t="s">
        <v>55</v>
      </c>
      <c r="G127" s="42" t="s">
        <v>73</v>
      </c>
      <c r="H127" s="43">
        <v>12</v>
      </c>
      <c r="I127" s="42">
        <v>59</v>
      </c>
      <c r="J127" s="43">
        <f t="shared" si="2"/>
        <v>708</v>
      </c>
      <c r="K127" s="43">
        <v>770</v>
      </c>
      <c r="L127" s="44">
        <f t="shared" si="3"/>
        <v>0.91948051948051945</v>
      </c>
    </row>
    <row r="128" spans="1:12" x14ac:dyDescent="0.3">
      <c r="A128" s="18">
        <v>127</v>
      </c>
      <c r="B128" s="25" t="s">
        <v>44</v>
      </c>
      <c r="C128" s="18">
        <v>4</v>
      </c>
      <c r="D128" s="25" t="s">
        <v>49</v>
      </c>
      <c r="E128" s="25" t="s">
        <v>76</v>
      </c>
      <c r="F128" s="25" t="s">
        <v>51</v>
      </c>
      <c r="G128" s="25" t="s">
        <v>70</v>
      </c>
      <c r="H128" s="40">
        <v>8.5</v>
      </c>
      <c r="I128" s="25">
        <v>105</v>
      </c>
      <c r="J128" s="40">
        <f t="shared" si="2"/>
        <v>892.5</v>
      </c>
      <c r="K128" s="40">
        <v>906</v>
      </c>
      <c r="L128" s="27">
        <f t="shared" si="3"/>
        <v>0.98509933774834435</v>
      </c>
    </row>
    <row r="129" spans="1:12" x14ac:dyDescent="0.3">
      <c r="A129" s="41">
        <v>128</v>
      </c>
      <c r="B129" s="42" t="s">
        <v>44</v>
      </c>
      <c r="C129" s="41">
        <v>4</v>
      </c>
      <c r="D129" s="42" t="s">
        <v>49</v>
      </c>
      <c r="E129" s="42" t="s">
        <v>76</v>
      </c>
      <c r="F129" s="42" t="s">
        <v>43</v>
      </c>
      <c r="G129" s="42" t="s">
        <v>71</v>
      </c>
      <c r="H129" s="43">
        <v>22</v>
      </c>
      <c r="I129" s="42">
        <v>111</v>
      </c>
      <c r="J129" s="43">
        <f t="shared" si="2"/>
        <v>2442</v>
      </c>
      <c r="K129" s="43">
        <v>2806</v>
      </c>
      <c r="L129" s="44">
        <f t="shared" si="3"/>
        <v>0.87027797576621524</v>
      </c>
    </row>
    <row r="130" spans="1:12" x14ac:dyDescent="0.3">
      <c r="A130" s="18">
        <v>129</v>
      </c>
      <c r="B130" s="25" t="s">
        <v>44</v>
      </c>
      <c r="C130" s="18">
        <v>4</v>
      </c>
      <c r="D130" s="25" t="s">
        <v>49</v>
      </c>
      <c r="E130" s="25" t="s">
        <v>76</v>
      </c>
      <c r="F130" s="25" t="s">
        <v>39</v>
      </c>
      <c r="G130" s="25" t="s">
        <v>72</v>
      </c>
      <c r="H130" s="40">
        <v>35</v>
      </c>
      <c r="I130" s="25">
        <v>56</v>
      </c>
      <c r="J130" s="40">
        <f t="shared" ref="J130:J193" si="4">H130*I130</f>
        <v>1960</v>
      </c>
      <c r="K130" s="40">
        <v>1868</v>
      </c>
      <c r="L130" s="27">
        <f t="shared" ref="L130:L193" si="5">J130/K130</f>
        <v>1.0492505353319057</v>
      </c>
    </row>
    <row r="131" spans="1:12" x14ac:dyDescent="0.3">
      <c r="A131" s="41">
        <v>130</v>
      </c>
      <c r="B131" s="42" t="s">
        <v>44</v>
      </c>
      <c r="C131" s="41">
        <v>4</v>
      </c>
      <c r="D131" s="42" t="s">
        <v>49</v>
      </c>
      <c r="E131" s="42" t="s">
        <v>76</v>
      </c>
      <c r="F131" s="42" t="s">
        <v>47</v>
      </c>
      <c r="G131" s="42" t="s">
        <v>70</v>
      </c>
      <c r="H131" s="43">
        <v>15</v>
      </c>
      <c r="I131" s="42">
        <v>75</v>
      </c>
      <c r="J131" s="43">
        <f t="shared" si="4"/>
        <v>1125</v>
      </c>
      <c r="K131" s="43">
        <v>1275</v>
      </c>
      <c r="L131" s="44">
        <f t="shared" si="5"/>
        <v>0.88235294117647056</v>
      </c>
    </row>
    <row r="132" spans="1:12" x14ac:dyDescent="0.3">
      <c r="A132" s="18">
        <v>131</v>
      </c>
      <c r="B132" s="25" t="s">
        <v>44</v>
      </c>
      <c r="C132" s="18">
        <v>4</v>
      </c>
      <c r="D132" s="25" t="s">
        <v>49</v>
      </c>
      <c r="E132" s="25" t="s">
        <v>76</v>
      </c>
      <c r="F132" s="25" t="s">
        <v>35</v>
      </c>
      <c r="G132" s="25" t="s">
        <v>71</v>
      </c>
      <c r="H132" s="40">
        <v>48</v>
      </c>
      <c r="I132" s="25">
        <v>117</v>
      </c>
      <c r="J132" s="40">
        <f t="shared" si="4"/>
        <v>5616</v>
      </c>
      <c r="K132" s="40">
        <v>6289</v>
      </c>
      <c r="L132" s="27">
        <f t="shared" si="5"/>
        <v>0.89298775640006356</v>
      </c>
    </row>
    <row r="133" spans="1:12" x14ac:dyDescent="0.3">
      <c r="A133" s="41">
        <v>132</v>
      </c>
      <c r="B133" s="42" t="s">
        <v>44</v>
      </c>
      <c r="C133" s="41">
        <v>4</v>
      </c>
      <c r="D133" s="42" t="s">
        <v>49</v>
      </c>
      <c r="E133" s="42" t="s">
        <v>76</v>
      </c>
      <c r="F133" s="42" t="s">
        <v>55</v>
      </c>
      <c r="G133" s="42" t="s">
        <v>73</v>
      </c>
      <c r="H133" s="43">
        <v>12</v>
      </c>
      <c r="I133" s="42">
        <v>54</v>
      </c>
      <c r="J133" s="43">
        <f t="shared" si="4"/>
        <v>648</v>
      </c>
      <c r="K133" s="43">
        <v>609</v>
      </c>
      <c r="L133" s="44">
        <f t="shared" si="5"/>
        <v>1.0640394088669951</v>
      </c>
    </row>
    <row r="134" spans="1:12" x14ac:dyDescent="0.3">
      <c r="A134" s="18">
        <v>133</v>
      </c>
      <c r="B134" s="25" t="s">
        <v>44</v>
      </c>
      <c r="C134" s="18">
        <v>4</v>
      </c>
      <c r="D134" s="25" t="s">
        <v>53</v>
      </c>
      <c r="E134" s="25" t="s">
        <v>77</v>
      </c>
      <c r="F134" s="25" t="s">
        <v>51</v>
      </c>
      <c r="G134" s="25" t="s">
        <v>70</v>
      </c>
      <c r="H134" s="40">
        <v>8.5</v>
      </c>
      <c r="I134" s="25">
        <v>118</v>
      </c>
      <c r="J134" s="40">
        <f t="shared" si="4"/>
        <v>1003</v>
      </c>
      <c r="K134" s="40">
        <v>1079</v>
      </c>
      <c r="L134" s="27">
        <f t="shared" si="5"/>
        <v>0.92956441149212232</v>
      </c>
    </row>
    <row r="135" spans="1:12" x14ac:dyDescent="0.3">
      <c r="A135" s="41">
        <v>134</v>
      </c>
      <c r="B135" s="42" t="s">
        <v>44</v>
      </c>
      <c r="C135" s="41">
        <v>4</v>
      </c>
      <c r="D135" s="42" t="s">
        <v>53</v>
      </c>
      <c r="E135" s="42" t="s">
        <v>77</v>
      </c>
      <c r="F135" s="42" t="s">
        <v>43</v>
      </c>
      <c r="G135" s="42" t="s">
        <v>71</v>
      </c>
      <c r="H135" s="43">
        <v>22</v>
      </c>
      <c r="I135" s="42">
        <v>89</v>
      </c>
      <c r="J135" s="43">
        <f t="shared" si="4"/>
        <v>1958</v>
      </c>
      <c r="K135" s="43">
        <v>2245</v>
      </c>
      <c r="L135" s="44">
        <f t="shared" si="5"/>
        <v>0.87216035634743871</v>
      </c>
    </row>
    <row r="136" spans="1:12" x14ac:dyDescent="0.3">
      <c r="A136" s="18">
        <v>135</v>
      </c>
      <c r="B136" s="25" t="s">
        <v>44</v>
      </c>
      <c r="C136" s="18">
        <v>4</v>
      </c>
      <c r="D136" s="25" t="s">
        <v>53</v>
      </c>
      <c r="E136" s="25" t="s">
        <v>77</v>
      </c>
      <c r="F136" s="25" t="s">
        <v>39</v>
      </c>
      <c r="G136" s="25" t="s">
        <v>72</v>
      </c>
      <c r="H136" s="40">
        <v>35</v>
      </c>
      <c r="I136" s="25">
        <v>60</v>
      </c>
      <c r="J136" s="40">
        <f t="shared" si="4"/>
        <v>2100</v>
      </c>
      <c r="K136" s="40">
        <v>1894</v>
      </c>
      <c r="L136" s="27">
        <f t="shared" si="5"/>
        <v>1.1087645195353748</v>
      </c>
    </row>
    <row r="137" spans="1:12" x14ac:dyDescent="0.3">
      <c r="A137" s="41">
        <v>136</v>
      </c>
      <c r="B137" s="42" t="s">
        <v>44</v>
      </c>
      <c r="C137" s="41">
        <v>4</v>
      </c>
      <c r="D137" s="42" t="s">
        <v>53</v>
      </c>
      <c r="E137" s="42" t="s">
        <v>77</v>
      </c>
      <c r="F137" s="42" t="s">
        <v>47</v>
      </c>
      <c r="G137" s="42" t="s">
        <v>70</v>
      </c>
      <c r="H137" s="43">
        <v>15</v>
      </c>
      <c r="I137" s="42">
        <v>78</v>
      </c>
      <c r="J137" s="43">
        <f t="shared" si="4"/>
        <v>1170</v>
      </c>
      <c r="K137" s="43">
        <v>1141</v>
      </c>
      <c r="L137" s="44">
        <f t="shared" si="5"/>
        <v>1.0254163014899211</v>
      </c>
    </row>
    <row r="138" spans="1:12" x14ac:dyDescent="0.3">
      <c r="A138" s="18">
        <v>137</v>
      </c>
      <c r="B138" s="25" t="s">
        <v>44</v>
      </c>
      <c r="C138" s="18">
        <v>4</v>
      </c>
      <c r="D138" s="25" t="s">
        <v>53</v>
      </c>
      <c r="E138" s="25" t="s">
        <v>77</v>
      </c>
      <c r="F138" s="25" t="s">
        <v>35</v>
      </c>
      <c r="G138" s="25" t="s">
        <v>71</v>
      </c>
      <c r="H138" s="40">
        <v>48</v>
      </c>
      <c r="I138" s="25">
        <v>98</v>
      </c>
      <c r="J138" s="40">
        <f t="shared" si="4"/>
        <v>4704</v>
      </c>
      <c r="K138" s="40">
        <v>5338</v>
      </c>
      <c r="L138" s="27">
        <f t="shared" si="5"/>
        <v>0.88122892469089542</v>
      </c>
    </row>
    <row r="139" spans="1:12" x14ac:dyDescent="0.3">
      <c r="A139" s="41">
        <v>138</v>
      </c>
      <c r="B139" s="42" t="s">
        <v>44</v>
      </c>
      <c r="C139" s="41">
        <v>4</v>
      </c>
      <c r="D139" s="42" t="s">
        <v>53</v>
      </c>
      <c r="E139" s="42" t="s">
        <v>77</v>
      </c>
      <c r="F139" s="42" t="s">
        <v>55</v>
      </c>
      <c r="G139" s="42" t="s">
        <v>73</v>
      </c>
      <c r="H139" s="43">
        <v>12</v>
      </c>
      <c r="I139" s="42">
        <v>44</v>
      </c>
      <c r="J139" s="43">
        <f t="shared" si="4"/>
        <v>528</v>
      </c>
      <c r="K139" s="43">
        <v>490</v>
      </c>
      <c r="L139" s="44">
        <f t="shared" si="5"/>
        <v>1.0775510204081633</v>
      </c>
    </row>
    <row r="140" spans="1:12" x14ac:dyDescent="0.3">
      <c r="A140" s="18">
        <v>139</v>
      </c>
      <c r="B140" s="25" t="s">
        <v>44</v>
      </c>
      <c r="C140" s="18">
        <v>4</v>
      </c>
      <c r="D140" s="25" t="s">
        <v>45</v>
      </c>
      <c r="E140" s="25" t="s">
        <v>78</v>
      </c>
      <c r="F140" s="25" t="s">
        <v>51</v>
      </c>
      <c r="G140" s="25" t="s">
        <v>70</v>
      </c>
      <c r="H140" s="40">
        <v>8.5</v>
      </c>
      <c r="I140" s="25">
        <v>113</v>
      </c>
      <c r="J140" s="40">
        <f t="shared" si="4"/>
        <v>960.5</v>
      </c>
      <c r="K140" s="40">
        <v>997</v>
      </c>
      <c r="L140" s="27">
        <f t="shared" si="5"/>
        <v>0.96339017051153464</v>
      </c>
    </row>
    <row r="141" spans="1:12" x14ac:dyDescent="0.3">
      <c r="A141" s="41">
        <v>140</v>
      </c>
      <c r="B141" s="42" t="s">
        <v>44</v>
      </c>
      <c r="C141" s="41">
        <v>4</v>
      </c>
      <c r="D141" s="42" t="s">
        <v>45</v>
      </c>
      <c r="E141" s="42" t="s">
        <v>78</v>
      </c>
      <c r="F141" s="42" t="s">
        <v>43</v>
      </c>
      <c r="G141" s="42" t="s">
        <v>71</v>
      </c>
      <c r="H141" s="43">
        <v>22</v>
      </c>
      <c r="I141" s="42">
        <v>95</v>
      </c>
      <c r="J141" s="43">
        <f t="shared" si="4"/>
        <v>2090</v>
      </c>
      <c r="K141" s="43">
        <v>2197</v>
      </c>
      <c r="L141" s="44">
        <f t="shared" si="5"/>
        <v>0.95129722348657264</v>
      </c>
    </row>
    <row r="142" spans="1:12" x14ac:dyDescent="0.3">
      <c r="A142" s="18">
        <v>141</v>
      </c>
      <c r="B142" s="25" t="s">
        <v>44</v>
      </c>
      <c r="C142" s="18">
        <v>4</v>
      </c>
      <c r="D142" s="25" t="s">
        <v>45</v>
      </c>
      <c r="E142" s="25" t="s">
        <v>78</v>
      </c>
      <c r="F142" s="25" t="s">
        <v>39</v>
      </c>
      <c r="G142" s="25" t="s">
        <v>72</v>
      </c>
      <c r="H142" s="40">
        <v>35</v>
      </c>
      <c r="I142" s="25">
        <v>72</v>
      </c>
      <c r="J142" s="40">
        <f t="shared" si="4"/>
        <v>2520</v>
      </c>
      <c r="K142" s="40">
        <v>2396</v>
      </c>
      <c r="L142" s="27">
        <f t="shared" si="5"/>
        <v>1.0517529215358932</v>
      </c>
    </row>
    <row r="143" spans="1:12" x14ac:dyDescent="0.3">
      <c r="A143" s="41">
        <v>142</v>
      </c>
      <c r="B143" s="42" t="s">
        <v>44</v>
      </c>
      <c r="C143" s="41">
        <v>4</v>
      </c>
      <c r="D143" s="42" t="s">
        <v>45</v>
      </c>
      <c r="E143" s="42" t="s">
        <v>78</v>
      </c>
      <c r="F143" s="42" t="s">
        <v>47</v>
      </c>
      <c r="G143" s="42" t="s">
        <v>70</v>
      </c>
      <c r="H143" s="43">
        <v>15</v>
      </c>
      <c r="I143" s="42">
        <v>88</v>
      </c>
      <c r="J143" s="43">
        <f t="shared" si="4"/>
        <v>1320</v>
      </c>
      <c r="K143" s="43">
        <v>1275</v>
      </c>
      <c r="L143" s="44">
        <f t="shared" si="5"/>
        <v>1.0352941176470589</v>
      </c>
    </row>
    <row r="144" spans="1:12" x14ac:dyDescent="0.3">
      <c r="A144" s="18">
        <v>143</v>
      </c>
      <c r="B144" s="25" t="s">
        <v>44</v>
      </c>
      <c r="C144" s="18">
        <v>4</v>
      </c>
      <c r="D144" s="25" t="s">
        <v>45</v>
      </c>
      <c r="E144" s="25" t="s">
        <v>78</v>
      </c>
      <c r="F144" s="25" t="s">
        <v>35</v>
      </c>
      <c r="G144" s="25" t="s">
        <v>71</v>
      </c>
      <c r="H144" s="40">
        <v>48</v>
      </c>
      <c r="I144" s="25">
        <v>110</v>
      </c>
      <c r="J144" s="40">
        <f t="shared" si="4"/>
        <v>5280</v>
      </c>
      <c r="K144" s="40">
        <v>5947</v>
      </c>
      <c r="L144" s="27">
        <f t="shared" si="5"/>
        <v>0.88784260971918616</v>
      </c>
    </row>
    <row r="145" spans="1:12" x14ac:dyDescent="0.3">
      <c r="A145" s="41">
        <v>144</v>
      </c>
      <c r="B145" s="42" t="s">
        <v>44</v>
      </c>
      <c r="C145" s="41">
        <v>4</v>
      </c>
      <c r="D145" s="42" t="s">
        <v>45</v>
      </c>
      <c r="E145" s="42" t="s">
        <v>78</v>
      </c>
      <c r="F145" s="42" t="s">
        <v>55</v>
      </c>
      <c r="G145" s="42" t="s">
        <v>73</v>
      </c>
      <c r="H145" s="43">
        <v>12</v>
      </c>
      <c r="I145" s="42">
        <v>66</v>
      </c>
      <c r="J145" s="43">
        <f t="shared" si="4"/>
        <v>792</v>
      </c>
      <c r="K145" s="43">
        <v>731</v>
      </c>
      <c r="L145" s="44">
        <f t="shared" si="5"/>
        <v>1.0834473324213407</v>
      </c>
    </row>
    <row r="146" spans="1:12" x14ac:dyDescent="0.3">
      <c r="A146" s="18">
        <v>145</v>
      </c>
      <c r="B146" s="25" t="s">
        <v>48</v>
      </c>
      <c r="C146" s="18">
        <v>5</v>
      </c>
      <c r="D146" s="25" t="s">
        <v>19</v>
      </c>
      <c r="E146" s="25" t="s">
        <v>69</v>
      </c>
      <c r="F146" s="25" t="s">
        <v>51</v>
      </c>
      <c r="G146" s="25" t="s">
        <v>70</v>
      </c>
      <c r="H146" s="40">
        <v>8.5</v>
      </c>
      <c r="I146" s="25">
        <v>263</v>
      </c>
      <c r="J146" s="40">
        <f t="shared" si="4"/>
        <v>2235.5</v>
      </c>
      <c r="K146" s="40">
        <v>2167</v>
      </c>
      <c r="L146" s="27">
        <f t="shared" si="5"/>
        <v>1.0316105214582372</v>
      </c>
    </row>
    <row r="147" spans="1:12" x14ac:dyDescent="0.3">
      <c r="A147" s="41">
        <v>146</v>
      </c>
      <c r="B147" s="42" t="s">
        <v>48</v>
      </c>
      <c r="C147" s="41">
        <v>5</v>
      </c>
      <c r="D147" s="42" t="s">
        <v>19</v>
      </c>
      <c r="E147" s="42" t="s">
        <v>69</v>
      </c>
      <c r="F147" s="42" t="s">
        <v>43</v>
      </c>
      <c r="G147" s="42" t="s">
        <v>71</v>
      </c>
      <c r="H147" s="43">
        <v>22</v>
      </c>
      <c r="I147" s="42">
        <v>183</v>
      </c>
      <c r="J147" s="43">
        <f t="shared" si="4"/>
        <v>4026</v>
      </c>
      <c r="K147" s="43">
        <v>4400</v>
      </c>
      <c r="L147" s="44">
        <f t="shared" si="5"/>
        <v>0.91500000000000004</v>
      </c>
    </row>
    <row r="148" spans="1:12" x14ac:dyDescent="0.3">
      <c r="A148" s="18">
        <v>147</v>
      </c>
      <c r="B148" s="25" t="s">
        <v>48</v>
      </c>
      <c r="C148" s="18">
        <v>5</v>
      </c>
      <c r="D148" s="25" t="s">
        <v>19</v>
      </c>
      <c r="E148" s="25" t="s">
        <v>69</v>
      </c>
      <c r="F148" s="25" t="s">
        <v>39</v>
      </c>
      <c r="G148" s="25" t="s">
        <v>72</v>
      </c>
      <c r="H148" s="40">
        <v>35</v>
      </c>
      <c r="I148" s="25">
        <v>149</v>
      </c>
      <c r="J148" s="40">
        <f t="shared" si="4"/>
        <v>5215</v>
      </c>
      <c r="K148" s="40">
        <v>5035</v>
      </c>
      <c r="L148" s="27">
        <f t="shared" si="5"/>
        <v>1.0357497517378351</v>
      </c>
    </row>
    <row r="149" spans="1:12" x14ac:dyDescent="0.3">
      <c r="A149" s="41">
        <v>148</v>
      </c>
      <c r="B149" s="42" t="s">
        <v>48</v>
      </c>
      <c r="C149" s="41">
        <v>5</v>
      </c>
      <c r="D149" s="42" t="s">
        <v>19</v>
      </c>
      <c r="E149" s="42" t="s">
        <v>69</v>
      </c>
      <c r="F149" s="42" t="s">
        <v>47</v>
      </c>
      <c r="G149" s="42" t="s">
        <v>70</v>
      </c>
      <c r="H149" s="43">
        <v>15</v>
      </c>
      <c r="I149" s="42">
        <v>193</v>
      </c>
      <c r="J149" s="43">
        <f t="shared" si="4"/>
        <v>2895</v>
      </c>
      <c r="K149" s="43">
        <v>3005</v>
      </c>
      <c r="L149" s="44">
        <f t="shared" si="5"/>
        <v>0.96339434276206326</v>
      </c>
    </row>
    <row r="150" spans="1:12" x14ac:dyDescent="0.3">
      <c r="A150" s="18">
        <v>149</v>
      </c>
      <c r="B150" s="25" t="s">
        <v>48</v>
      </c>
      <c r="C150" s="18">
        <v>5</v>
      </c>
      <c r="D150" s="25" t="s">
        <v>19</v>
      </c>
      <c r="E150" s="25" t="s">
        <v>69</v>
      </c>
      <c r="F150" s="25" t="s">
        <v>35</v>
      </c>
      <c r="G150" s="25" t="s">
        <v>71</v>
      </c>
      <c r="H150" s="40">
        <v>48</v>
      </c>
      <c r="I150" s="25">
        <v>228</v>
      </c>
      <c r="J150" s="40">
        <f t="shared" si="4"/>
        <v>10944</v>
      </c>
      <c r="K150" s="40">
        <v>9876</v>
      </c>
      <c r="L150" s="27">
        <f t="shared" si="5"/>
        <v>1.1081409477521265</v>
      </c>
    </row>
    <row r="151" spans="1:12" x14ac:dyDescent="0.3">
      <c r="A151" s="41">
        <v>150</v>
      </c>
      <c r="B151" s="42" t="s">
        <v>48</v>
      </c>
      <c r="C151" s="41">
        <v>5</v>
      </c>
      <c r="D151" s="42" t="s">
        <v>19</v>
      </c>
      <c r="E151" s="42" t="s">
        <v>69</v>
      </c>
      <c r="F151" s="42" t="s">
        <v>55</v>
      </c>
      <c r="G151" s="42" t="s">
        <v>73</v>
      </c>
      <c r="H151" s="43">
        <v>12</v>
      </c>
      <c r="I151" s="42">
        <v>109</v>
      </c>
      <c r="J151" s="43">
        <f t="shared" si="4"/>
        <v>1308</v>
      </c>
      <c r="K151" s="43">
        <v>1466</v>
      </c>
      <c r="L151" s="44">
        <f t="shared" si="5"/>
        <v>0.89222373806275579</v>
      </c>
    </row>
    <row r="152" spans="1:12" x14ac:dyDescent="0.3">
      <c r="A152" s="18">
        <v>151</v>
      </c>
      <c r="B152" s="25" t="s">
        <v>48</v>
      </c>
      <c r="C152" s="18">
        <v>5</v>
      </c>
      <c r="D152" s="25" t="s">
        <v>37</v>
      </c>
      <c r="E152" s="25" t="s">
        <v>74</v>
      </c>
      <c r="F152" s="25" t="s">
        <v>51</v>
      </c>
      <c r="G152" s="25" t="s">
        <v>70</v>
      </c>
      <c r="H152" s="40">
        <v>8.5</v>
      </c>
      <c r="I152" s="25">
        <v>201</v>
      </c>
      <c r="J152" s="40">
        <f t="shared" si="4"/>
        <v>1708.5</v>
      </c>
      <c r="K152" s="40">
        <v>1771</v>
      </c>
      <c r="L152" s="27">
        <f t="shared" si="5"/>
        <v>0.96470920383963865</v>
      </c>
    </row>
    <row r="153" spans="1:12" x14ac:dyDescent="0.3">
      <c r="A153" s="41">
        <v>152</v>
      </c>
      <c r="B153" s="42" t="s">
        <v>48</v>
      </c>
      <c r="C153" s="41">
        <v>5</v>
      </c>
      <c r="D153" s="42" t="s">
        <v>37</v>
      </c>
      <c r="E153" s="42" t="s">
        <v>74</v>
      </c>
      <c r="F153" s="42" t="s">
        <v>43</v>
      </c>
      <c r="G153" s="42" t="s">
        <v>71</v>
      </c>
      <c r="H153" s="43">
        <v>22</v>
      </c>
      <c r="I153" s="42">
        <v>158</v>
      </c>
      <c r="J153" s="43">
        <f t="shared" si="4"/>
        <v>3476</v>
      </c>
      <c r="K153" s="43">
        <v>3635</v>
      </c>
      <c r="L153" s="44">
        <f t="shared" si="5"/>
        <v>0.95625859697386517</v>
      </c>
    </row>
    <row r="154" spans="1:12" x14ac:dyDescent="0.3">
      <c r="A154" s="18">
        <v>153</v>
      </c>
      <c r="B154" s="25" t="s">
        <v>48</v>
      </c>
      <c r="C154" s="18">
        <v>5</v>
      </c>
      <c r="D154" s="25" t="s">
        <v>37</v>
      </c>
      <c r="E154" s="25" t="s">
        <v>74</v>
      </c>
      <c r="F154" s="25" t="s">
        <v>39</v>
      </c>
      <c r="G154" s="25" t="s">
        <v>72</v>
      </c>
      <c r="H154" s="40">
        <v>35</v>
      </c>
      <c r="I154" s="25">
        <v>85</v>
      </c>
      <c r="J154" s="40">
        <f t="shared" si="4"/>
        <v>2975</v>
      </c>
      <c r="K154" s="40">
        <v>2772</v>
      </c>
      <c r="L154" s="27">
        <f t="shared" si="5"/>
        <v>1.0732323232323233</v>
      </c>
    </row>
    <row r="155" spans="1:12" x14ac:dyDescent="0.3">
      <c r="A155" s="41">
        <v>154</v>
      </c>
      <c r="B155" s="42" t="s">
        <v>48</v>
      </c>
      <c r="C155" s="41">
        <v>5</v>
      </c>
      <c r="D155" s="42" t="s">
        <v>37</v>
      </c>
      <c r="E155" s="42" t="s">
        <v>74</v>
      </c>
      <c r="F155" s="42" t="s">
        <v>47</v>
      </c>
      <c r="G155" s="42" t="s">
        <v>70</v>
      </c>
      <c r="H155" s="43">
        <v>15</v>
      </c>
      <c r="I155" s="42">
        <v>113</v>
      </c>
      <c r="J155" s="43">
        <f t="shared" si="4"/>
        <v>1695</v>
      </c>
      <c r="K155" s="43">
        <v>1906</v>
      </c>
      <c r="L155" s="44">
        <f t="shared" si="5"/>
        <v>0.88929695697796429</v>
      </c>
    </row>
    <row r="156" spans="1:12" x14ac:dyDescent="0.3">
      <c r="A156" s="18">
        <v>155</v>
      </c>
      <c r="B156" s="25" t="s">
        <v>48</v>
      </c>
      <c r="C156" s="18">
        <v>5</v>
      </c>
      <c r="D156" s="25" t="s">
        <v>37</v>
      </c>
      <c r="E156" s="25" t="s">
        <v>74</v>
      </c>
      <c r="F156" s="25" t="s">
        <v>35</v>
      </c>
      <c r="G156" s="25" t="s">
        <v>71</v>
      </c>
      <c r="H156" s="40">
        <v>48</v>
      </c>
      <c r="I156" s="25">
        <v>169</v>
      </c>
      <c r="J156" s="40">
        <f t="shared" si="4"/>
        <v>8112</v>
      </c>
      <c r="K156" s="40">
        <v>9046</v>
      </c>
      <c r="L156" s="27">
        <f t="shared" si="5"/>
        <v>0.89674994472695113</v>
      </c>
    </row>
    <row r="157" spans="1:12" x14ac:dyDescent="0.3">
      <c r="A157" s="41">
        <v>156</v>
      </c>
      <c r="B157" s="42" t="s">
        <v>48</v>
      </c>
      <c r="C157" s="41">
        <v>5</v>
      </c>
      <c r="D157" s="42" t="s">
        <v>37</v>
      </c>
      <c r="E157" s="42" t="s">
        <v>74</v>
      </c>
      <c r="F157" s="42" t="s">
        <v>55</v>
      </c>
      <c r="G157" s="42" t="s">
        <v>73</v>
      </c>
      <c r="H157" s="43">
        <v>12</v>
      </c>
      <c r="I157" s="42">
        <v>94</v>
      </c>
      <c r="J157" s="43">
        <f t="shared" si="4"/>
        <v>1128</v>
      </c>
      <c r="K157" s="43">
        <v>1074</v>
      </c>
      <c r="L157" s="44">
        <f t="shared" si="5"/>
        <v>1.0502793296089385</v>
      </c>
    </row>
    <row r="158" spans="1:12" x14ac:dyDescent="0.3">
      <c r="A158" s="18">
        <v>157</v>
      </c>
      <c r="B158" s="25" t="s">
        <v>48</v>
      </c>
      <c r="C158" s="18">
        <v>5</v>
      </c>
      <c r="D158" s="25" t="s">
        <v>41</v>
      </c>
      <c r="E158" s="25" t="s">
        <v>75</v>
      </c>
      <c r="F158" s="25" t="s">
        <v>51</v>
      </c>
      <c r="G158" s="25" t="s">
        <v>70</v>
      </c>
      <c r="H158" s="40">
        <v>8.5</v>
      </c>
      <c r="I158" s="25">
        <v>138</v>
      </c>
      <c r="J158" s="40">
        <f t="shared" si="4"/>
        <v>1173</v>
      </c>
      <c r="K158" s="40">
        <v>1086</v>
      </c>
      <c r="L158" s="27">
        <f t="shared" si="5"/>
        <v>1.080110497237569</v>
      </c>
    </row>
    <row r="159" spans="1:12" x14ac:dyDescent="0.3">
      <c r="A159" s="41">
        <v>158</v>
      </c>
      <c r="B159" s="42" t="s">
        <v>48</v>
      </c>
      <c r="C159" s="41">
        <v>5</v>
      </c>
      <c r="D159" s="42" t="s">
        <v>41</v>
      </c>
      <c r="E159" s="42" t="s">
        <v>75</v>
      </c>
      <c r="F159" s="42" t="s">
        <v>43</v>
      </c>
      <c r="G159" s="42" t="s">
        <v>71</v>
      </c>
      <c r="H159" s="43">
        <v>22</v>
      </c>
      <c r="I159" s="42">
        <v>130</v>
      </c>
      <c r="J159" s="43">
        <f t="shared" si="4"/>
        <v>2860</v>
      </c>
      <c r="K159" s="43">
        <v>3206</v>
      </c>
      <c r="L159" s="44">
        <f t="shared" si="5"/>
        <v>0.89207735495945106</v>
      </c>
    </row>
    <row r="160" spans="1:12" x14ac:dyDescent="0.3">
      <c r="A160" s="18">
        <v>159</v>
      </c>
      <c r="B160" s="25" t="s">
        <v>48</v>
      </c>
      <c r="C160" s="18">
        <v>5</v>
      </c>
      <c r="D160" s="25" t="s">
        <v>41</v>
      </c>
      <c r="E160" s="25" t="s">
        <v>75</v>
      </c>
      <c r="F160" s="25" t="s">
        <v>39</v>
      </c>
      <c r="G160" s="25" t="s">
        <v>72</v>
      </c>
      <c r="H160" s="40">
        <v>35</v>
      </c>
      <c r="I160" s="25">
        <v>77</v>
      </c>
      <c r="J160" s="40">
        <f t="shared" si="4"/>
        <v>2695</v>
      </c>
      <c r="K160" s="40">
        <v>2844</v>
      </c>
      <c r="L160" s="27">
        <f t="shared" si="5"/>
        <v>0.94760900140646975</v>
      </c>
    </row>
    <row r="161" spans="1:12" x14ac:dyDescent="0.3">
      <c r="A161" s="41">
        <v>160</v>
      </c>
      <c r="B161" s="42" t="s">
        <v>48</v>
      </c>
      <c r="C161" s="41">
        <v>5</v>
      </c>
      <c r="D161" s="42" t="s">
        <v>41</v>
      </c>
      <c r="E161" s="42" t="s">
        <v>75</v>
      </c>
      <c r="F161" s="42" t="s">
        <v>47</v>
      </c>
      <c r="G161" s="42" t="s">
        <v>70</v>
      </c>
      <c r="H161" s="43">
        <v>15</v>
      </c>
      <c r="I161" s="42">
        <v>89</v>
      </c>
      <c r="J161" s="43">
        <f t="shared" si="4"/>
        <v>1335</v>
      </c>
      <c r="K161" s="43">
        <v>1512</v>
      </c>
      <c r="L161" s="44">
        <f t="shared" si="5"/>
        <v>0.88293650793650791</v>
      </c>
    </row>
    <row r="162" spans="1:12" x14ac:dyDescent="0.3">
      <c r="A162" s="18">
        <v>161</v>
      </c>
      <c r="B162" s="25" t="s">
        <v>48</v>
      </c>
      <c r="C162" s="18">
        <v>5</v>
      </c>
      <c r="D162" s="25" t="s">
        <v>41</v>
      </c>
      <c r="E162" s="25" t="s">
        <v>75</v>
      </c>
      <c r="F162" s="25" t="s">
        <v>35</v>
      </c>
      <c r="G162" s="25" t="s">
        <v>71</v>
      </c>
      <c r="H162" s="40">
        <v>48</v>
      </c>
      <c r="I162" s="25">
        <v>144</v>
      </c>
      <c r="J162" s="40">
        <f t="shared" si="4"/>
        <v>6912</v>
      </c>
      <c r="K162" s="40">
        <v>7908</v>
      </c>
      <c r="L162" s="27">
        <f t="shared" si="5"/>
        <v>0.87405159332321702</v>
      </c>
    </row>
    <row r="163" spans="1:12" x14ac:dyDescent="0.3">
      <c r="A163" s="41">
        <v>162</v>
      </c>
      <c r="B163" s="42" t="s">
        <v>48</v>
      </c>
      <c r="C163" s="41">
        <v>5</v>
      </c>
      <c r="D163" s="42" t="s">
        <v>41</v>
      </c>
      <c r="E163" s="42" t="s">
        <v>75</v>
      </c>
      <c r="F163" s="42" t="s">
        <v>55</v>
      </c>
      <c r="G163" s="42" t="s">
        <v>73</v>
      </c>
      <c r="H163" s="43">
        <v>12</v>
      </c>
      <c r="I163" s="42">
        <v>76</v>
      </c>
      <c r="J163" s="43">
        <f t="shared" si="4"/>
        <v>912</v>
      </c>
      <c r="K163" s="43">
        <v>1022</v>
      </c>
      <c r="L163" s="44">
        <f t="shared" si="5"/>
        <v>0.89236790606653615</v>
      </c>
    </row>
    <row r="164" spans="1:12" x14ac:dyDescent="0.3">
      <c r="A164" s="18">
        <v>163</v>
      </c>
      <c r="B164" s="25" t="s">
        <v>48</v>
      </c>
      <c r="C164" s="18">
        <v>5</v>
      </c>
      <c r="D164" s="25" t="s">
        <v>49</v>
      </c>
      <c r="E164" s="25" t="s">
        <v>76</v>
      </c>
      <c r="F164" s="25" t="s">
        <v>51</v>
      </c>
      <c r="G164" s="25" t="s">
        <v>70</v>
      </c>
      <c r="H164" s="40">
        <v>8.5</v>
      </c>
      <c r="I164" s="25">
        <v>115</v>
      </c>
      <c r="J164" s="40">
        <f t="shared" si="4"/>
        <v>977.5</v>
      </c>
      <c r="K164" s="40">
        <v>1060</v>
      </c>
      <c r="L164" s="27">
        <f t="shared" si="5"/>
        <v>0.92216981132075471</v>
      </c>
    </row>
    <row r="165" spans="1:12" x14ac:dyDescent="0.3">
      <c r="A165" s="41">
        <v>164</v>
      </c>
      <c r="B165" s="42" t="s">
        <v>48</v>
      </c>
      <c r="C165" s="41">
        <v>5</v>
      </c>
      <c r="D165" s="42" t="s">
        <v>49</v>
      </c>
      <c r="E165" s="42" t="s">
        <v>76</v>
      </c>
      <c r="F165" s="42" t="s">
        <v>43</v>
      </c>
      <c r="G165" s="42" t="s">
        <v>71</v>
      </c>
      <c r="H165" s="43">
        <v>22</v>
      </c>
      <c r="I165" s="42">
        <v>102</v>
      </c>
      <c r="J165" s="43">
        <f t="shared" si="4"/>
        <v>2244</v>
      </c>
      <c r="K165" s="43">
        <v>2542</v>
      </c>
      <c r="L165" s="44">
        <f t="shared" si="5"/>
        <v>0.88276947285601892</v>
      </c>
    </row>
    <row r="166" spans="1:12" x14ac:dyDescent="0.3">
      <c r="A166" s="18">
        <v>165</v>
      </c>
      <c r="B166" s="25" t="s">
        <v>48</v>
      </c>
      <c r="C166" s="18">
        <v>5</v>
      </c>
      <c r="D166" s="25" t="s">
        <v>49</v>
      </c>
      <c r="E166" s="25" t="s">
        <v>76</v>
      </c>
      <c r="F166" s="25" t="s">
        <v>39</v>
      </c>
      <c r="G166" s="25" t="s">
        <v>72</v>
      </c>
      <c r="H166" s="40">
        <v>35</v>
      </c>
      <c r="I166" s="25">
        <v>78</v>
      </c>
      <c r="J166" s="40">
        <f t="shared" si="4"/>
        <v>2730</v>
      </c>
      <c r="K166" s="40">
        <v>3047</v>
      </c>
      <c r="L166" s="27">
        <f t="shared" si="5"/>
        <v>0.89596324253363968</v>
      </c>
    </row>
    <row r="167" spans="1:12" x14ac:dyDescent="0.3">
      <c r="A167" s="41">
        <v>166</v>
      </c>
      <c r="B167" s="42" t="s">
        <v>48</v>
      </c>
      <c r="C167" s="41">
        <v>5</v>
      </c>
      <c r="D167" s="42" t="s">
        <v>49</v>
      </c>
      <c r="E167" s="42" t="s">
        <v>76</v>
      </c>
      <c r="F167" s="42" t="s">
        <v>47</v>
      </c>
      <c r="G167" s="42" t="s">
        <v>70</v>
      </c>
      <c r="H167" s="43">
        <v>15</v>
      </c>
      <c r="I167" s="42">
        <v>98</v>
      </c>
      <c r="J167" s="43">
        <f t="shared" si="4"/>
        <v>1470</v>
      </c>
      <c r="K167" s="43">
        <v>1421</v>
      </c>
      <c r="L167" s="44">
        <f t="shared" si="5"/>
        <v>1.0344827586206897</v>
      </c>
    </row>
    <row r="168" spans="1:12" x14ac:dyDescent="0.3">
      <c r="A168" s="18">
        <v>167</v>
      </c>
      <c r="B168" s="25" t="s">
        <v>48</v>
      </c>
      <c r="C168" s="18">
        <v>5</v>
      </c>
      <c r="D168" s="25" t="s">
        <v>49</v>
      </c>
      <c r="E168" s="25" t="s">
        <v>76</v>
      </c>
      <c r="F168" s="25" t="s">
        <v>35</v>
      </c>
      <c r="G168" s="25" t="s">
        <v>71</v>
      </c>
      <c r="H168" s="40">
        <v>48</v>
      </c>
      <c r="I168" s="25">
        <v>127</v>
      </c>
      <c r="J168" s="40">
        <f t="shared" si="4"/>
        <v>6096</v>
      </c>
      <c r="K168" s="40">
        <v>5651</v>
      </c>
      <c r="L168" s="27">
        <f t="shared" si="5"/>
        <v>1.0787471244027607</v>
      </c>
    </row>
    <row r="169" spans="1:12" x14ac:dyDescent="0.3">
      <c r="A169" s="41">
        <v>168</v>
      </c>
      <c r="B169" s="42" t="s">
        <v>48</v>
      </c>
      <c r="C169" s="41">
        <v>5</v>
      </c>
      <c r="D169" s="42" t="s">
        <v>49</v>
      </c>
      <c r="E169" s="42" t="s">
        <v>76</v>
      </c>
      <c r="F169" s="42" t="s">
        <v>55</v>
      </c>
      <c r="G169" s="42" t="s">
        <v>73</v>
      </c>
      <c r="H169" s="43">
        <v>12</v>
      </c>
      <c r="I169" s="42">
        <v>70</v>
      </c>
      <c r="J169" s="43">
        <f t="shared" si="4"/>
        <v>840</v>
      </c>
      <c r="K169" s="43">
        <v>936</v>
      </c>
      <c r="L169" s="44">
        <f t="shared" si="5"/>
        <v>0.89743589743589747</v>
      </c>
    </row>
    <row r="170" spans="1:12" x14ac:dyDescent="0.3">
      <c r="A170" s="18">
        <v>169</v>
      </c>
      <c r="B170" s="25" t="s">
        <v>48</v>
      </c>
      <c r="C170" s="18">
        <v>5</v>
      </c>
      <c r="D170" s="25" t="s">
        <v>53</v>
      </c>
      <c r="E170" s="25" t="s">
        <v>77</v>
      </c>
      <c r="F170" s="25" t="s">
        <v>51</v>
      </c>
      <c r="G170" s="25" t="s">
        <v>70</v>
      </c>
      <c r="H170" s="40">
        <v>8.5</v>
      </c>
      <c r="I170" s="25">
        <v>110</v>
      </c>
      <c r="J170" s="40">
        <f t="shared" si="4"/>
        <v>935</v>
      </c>
      <c r="K170" s="40">
        <v>1032</v>
      </c>
      <c r="L170" s="27">
        <f t="shared" si="5"/>
        <v>0.90600775193798455</v>
      </c>
    </row>
    <row r="171" spans="1:12" x14ac:dyDescent="0.3">
      <c r="A171" s="41">
        <v>170</v>
      </c>
      <c r="B171" s="42" t="s">
        <v>48</v>
      </c>
      <c r="C171" s="41">
        <v>5</v>
      </c>
      <c r="D171" s="42" t="s">
        <v>53</v>
      </c>
      <c r="E171" s="42" t="s">
        <v>77</v>
      </c>
      <c r="F171" s="42" t="s">
        <v>43</v>
      </c>
      <c r="G171" s="42" t="s">
        <v>71</v>
      </c>
      <c r="H171" s="43">
        <v>22</v>
      </c>
      <c r="I171" s="42">
        <v>94</v>
      </c>
      <c r="J171" s="43">
        <f t="shared" si="4"/>
        <v>2068</v>
      </c>
      <c r="K171" s="43">
        <v>2019</v>
      </c>
      <c r="L171" s="44">
        <f t="shared" si="5"/>
        <v>1.0242694403169885</v>
      </c>
    </row>
    <row r="172" spans="1:12" x14ac:dyDescent="0.3">
      <c r="A172" s="18">
        <v>171</v>
      </c>
      <c r="B172" s="25" t="s">
        <v>48</v>
      </c>
      <c r="C172" s="18">
        <v>5</v>
      </c>
      <c r="D172" s="25" t="s">
        <v>53</v>
      </c>
      <c r="E172" s="25" t="s">
        <v>77</v>
      </c>
      <c r="F172" s="25" t="s">
        <v>39</v>
      </c>
      <c r="G172" s="25" t="s">
        <v>72</v>
      </c>
      <c r="H172" s="40">
        <v>35</v>
      </c>
      <c r="I172" s="25">
        <v>69</v>
      </c>
      <c r="J172" s="40">
        <f t="shared" si="4"/>
        <v>2415</v>
      </c>
      <c r="K172" s="40">
        <v>2311</v>
      </c>
      <c r="L172" s="27">
        <f t="shared" si="5"/>
        <v>1.045002163565556</v>
      </c>
    </row>
    <row r="173" spans="1:12" x14ac:dyDescent="0.3">
      <c r="A173" s="41">
        <v>172</v>
      </c>
      <c r="B173" s="42" t="s">
        <v>48</v>
      </c>
      <c r="C173" s="41">
        <v>5</v>
      </c>
      <c r="D173" s="42" t="s">
        <v>53</v>
      </c>
      <c r="E173" s="42" t="s">
        <v>77</v>
      </c>
      <c r="F173" s="42" t="s">
        <v>47</v>
      </c>
      <c r="G173" s="42" t="s">
        <v>70</v>
      </c>
      <c r="H173" s="43">
        <v>15</v>
      </c>
      <c r="I173" s="42">
        <v>68</v>
      </c>
      <c r="J173" s="43">
        <f t="shared" si="4"/>
        <v>1020</v>
      </c>
      <c r="K173" s="43">
        <v>967</v>
      </c>
      <c r="L173" s="44">
        <f t="shared" si="5"/>
        <v>1.0548086866597726</v>
      </c>
    </row>
    <row r="174" spans="1:12" x14ac:dyDescent="0.3">
      <c r="A174" s="18">
        <v>173</v>
      </c>
      <c r="B174" s="25" t="s">
        <v>48</v>
      </c>
      <c r="C174" s="18">
        <v>5</v>
      </c>
      <c r="D174" s="25" t="s">
        <v>53</v>
      </c>
      <c r="E174" s="25" t="s">
        <v>77</v>
      </c>
      <c r="F174" s="25" t="s">
        <v>35</v>
      </c>
      <c r="G174" s="25" t="s">
        <v>71</v>
      </c>
      <c r="H174" s="40">
        <v>48</v>
      </c>
      <c r="I174" s="25">
        <v>98</v>
      </c>
      <c r="J174" s="40">
        <f t="shared" si="4"/>
        <v>4704</v>
      </c>
      <c r="K174" s="40">
        <v>5250</v>
      </c>
      <c r="L174" s="27">
        <f t="shared" si="5"/>
        <v>0.89600000000000002</v>
      </c>
    </row>
    <row r="175" spans="1:12" x14ac:dyDescent="0.3">
      <c r="A175" s="41">
        <v>174</v>
      </c>
      <c r="B175" s="42" t="s">
        <v>48</v>
      </c>
      <c r="C175" s="41">
        <v>5</v>
      </c>
      <c r="D175" s="42" t="s">
        <v>53</v>
      </c>
      <c r="E175" s="42" t="s">
        <v>77</v>
      </c>
      <c r="F175" s="42" t="s">
        <v>55</v>
      </c>
      <c r="G175" s="42" t="s">
        <v>73</v>
      </c>
      <c r="H175" s="43">
        <v>12</v>
      </c>
      <c r="I175" s="42">
        <v>63</v>
      </c>
      <c r="J175" s="43">
        <f t="shared" si="4"/>
        <v>756</v>
      </c>
      <c r="K175" s="43">
        <v>733</v>
      </c>
      <c r="L175" s="44">
        <f t="shared" si="5"/>
        <v>1.0313778990450204</v>
      </c>
    </row>
    <row r="176" spans="1:12" x14ac:dyDescent="0.3">
      <c r="A176" s="18">
        <v>175</v>
      </c>
      <c r="B176" s="25" t="s">
        <v>48</v>
      </c>
      <c r="C176" s="18">
        <v>5</v>
      </c>
      <c r="D176" s="25" t="s">
        <v>45</v>
      </c>
      <c r="E176" s="25" t="s">
        <v>78</v>
      </c>
      <c r="F176" s="25" t="s">
        <v>51</v>
      </c>
      <c r="G176" s="25" t="s">
        <v>70</v>
      </c>
      <c r="H176" s="40">
        <v>8.5</v>
      </c>
      <c r="I176" s="25">
        <v>148</v>
      </c>
      <c r="J176" s="40">
        <f t="shared" si="4"/>
        <v>1258</v>
      </c>
      <c r="K176" s="40">
        <v>1258</v>
      </c>
      <c r="L176" s="27">
        <f t="shared" si="5"/>
        <v>1</v>
      </c>
    </row>
    <row r="177" spans="1:12" x14ac:dyDescent="0.3">
      <c r="A177" s="41">
        <v>176</v>
      </c>
      <c r="B177" s="42" t="s">
        <v>48</v>
      </c>
      <c r="C177" s="41">
        <v>5</v>
      </c>
      <c r="D177" s="42" t="s">
        <v>45</v>
      </c>
      <c r="E177" s="42" t="s">
        <v>78</v>
      </c>
      <c r="F177" s="42" t="s">
        <v>43</v>
      </c>
      <c r="G177" s="42" t="s">
        <v>71</v>
      </c>
      <c r="H177" s="43">
        <v>22</v>
      </c>
      <c r="I177" s="42">
        <v>130</v>
      </c>
      <c r="J177" s="43">
        <f t="shared" si="4"/>
        <v>2860</v>
      </c>
      <c r="K177" s="43">
        <v>2957</v>
      </c>
      <c r="L177" s="44">
        <f t="shared" si="5"/>
        <v>0.96719648292188032</v>
      </c>
    </row>
    <row r="178" spans="1:12" x14ac:dyDescent="0.3">
      <c r="A178" s="18">
        <v>177</v>
      </c>
      <c r="B178" s="25" t="s">
        <v>48</v>
      </c>
      <c r="C178" s="18">
        <v>5</v>
      </c>
      <c r="D178" s="25" t="s">
        <v>45</v>
      </c>
      <c r="E178" s="25" t="s">
        <v>78</v>
      </c>
      <c r="F178" s="25" t="s">
        <v>39</v>
      </c>
      <c r="G178" s="25" t="s">
        <v>72</v>
      </c>
      <c r="H178" s="40">
        <v>35</v>
      </c>
      <c r="I178" s="25">
        <v>86</v>
      </c>
      <c r="J178" s="40">
        <f t="shared" si="4"/>
        <v>3010</v>
      </c>
      <c r="K178" s="40">
        <v>2796</v>
      </c>
      <c r="L178" s="27">
        <f t="shared" si="5"/>
        <v>1.0765379113018598</v>
      </c>
    </row>
    <row r="179" spans="1:12" x14ac:dyDescent="0.3">
      <c r="A179" s="41">
        <v>178</v>
      </c>
      <c r="B179" s="42" t="s">
        <v>48</v>
      </c>
      <c r="C179" s="41">
        <v>5</v>
      </c>
      <c r="D179" s="42" t="s">
        <v>45</v>
      </c>
      <c r="E179" s="42" t="s">
        <v>78</v>
      </c>
      <c r="F179" s="42" t="s">
        <v>47</v>
      </c>
      <c r="G179" s="42" t="s">
        <v>70</v>
      </c>
      <c r="H179" s="43">
        <v>15</v>
      </c>
      <c r="I179" s="42">
        <v>108</v>
      </c>
      <c r="J179" s="43">
        <f t="shared" si="4"/>
        <v>1620</v>
      </c>
      <c r="K179" s="43">
        <v>1530</v>
      </c>
      <c r="L179" s="44">
        <f t="shared" si="5"/>
        <v>1.0588235294117647</v>
      </c>
    </row>
    <row r="180" spans="1:12" x14ac:dyDescent="0.3">
      <c r="A180" s="18">
        <v>179</v>
      </c>
      <c r="B180" s="25" t="s">
        <v>48</v>
      </c>
      <c r="C180" s="18">
        <v>5</v>
      </c>
      <c r="D180" s="25" t="s">
        <v>45</v>
      </c>
      <c r="E180" s="25" t="s">
        <v>78</v>
      </c>
      <c r="F180" s="25" t="s">
        <v>35</v>
      </c>
      <c r="G180" s="25" t="s">
        <v>71</v>
      </c>
      <c r="H180" s="40">
        <v>48</v>
      </c>
      <c r="I180" s="25">
        <v>140</v>
      </c>
      <c r="J180" s="40">
        <f t="shared" si="4"/>
        <v>6720</v>
      </c>
      <c r="K180" s="40">
        <v>6494</v>
      </c>
      <c r="L180" s="27">
        <f t="shared" si="5"/>
        <v>1.0348013550970125</v>
      </c>
    </row>
    <row r="181" spans="1:12" x14ac:dyDescent="0.3">
      <c r="A181" s="41">
        <v>180</v>
      </c>
      <c r="B181" s="42" t="s">
        <v>48</v>
      </c>
      <c r="C181" s="41">
        <v>5</v>
      </c>
      <c r="D181" s="42" t="s">
        <v>45</v>
      </c>
      <c r="E181" s="42" t="s">
        <v>78</v>
      </c>
      <c r="F181" s="42" t="s">
        <v>55</v>
      </c>
      <c r="G181" s="42" t="s">
        <v>73</v>
      </c>
      <c r="H181" s="43">
        <v>12</v>
      </c>
      <c r="I181" s="42">
        <v>58</v>
      </c>
      <c r="J181" s="43">
        <f t="shared" si="4"/>
        <v>696</v>
      </c>
      <c r="K181" s="43">
        <v>702</v>
      </c>
      <c r="L181" s="44">
        <f t="shared" si="5"/>
        <v>0.99145299145299148</v>
      </c>
    </row>
    <row r="182" spans="1:12" x14ac:dyDescent="0.3">
      <c r="A182" s="18">
        <v>181</v>
      </c>
      <c r="B182" s="25" t="s">
        <v>52</v>
      </c>
      <c r="C182" s="18">
        <v>6</v>
      </c>
      <c r="D182" s="25" t="s">
        <v>19</v>
      </c>
      <c r="E182" s="25" t="s">
        <v>69</v>
      </c>
      <c r="F182" s="25" t="s">
        <v>51</v>
      </c>
      <c r="G182" s="25" t="s">
        <v>70</v>
      </c>
      <c r="H182" s="40">
        <v>8.5</v>
      </c>
      <c r="I182" s="25">
        <v>274</v>
      </c>
      <c r="J182" s="40">
        <f t="shared" si="4"/>
        <v>2329</v>
      </c>
      <c r="K182" s="40">
        <v>2279</v>
      </c>
      <c r="L182" s="27">
        <f t="shared" si="5"/>
        <v>1.0219394471259324</v>
      </c>
    </row>
    <row r="183" spans="1:12" x14ac:dyDescent="0.3">
      <c r="A183" s="41">
        <v>182</v>
      </c>
      <c r="B183" s="42" t="s">
        <v>52</v>
      </c>
      <c r="C183" s="41">
        <v>6</v>
      </c>
      <c r="D183" s="42" t="s">
        <v>19</v>
      </c>
      <c r="E183" s="42" t="s">
        <v>69</v>
      </c>
      <c r="F183" s="42" t="s">
        <v>43</v>
      </c>
      <c r="G183" s="42" t="s">
        <v>71</v>
      </c>
      <c r="H183" s="43">
        <v>22</v>
      </c>
      <c r="I183" s="42">
        <v>211</v>
      </c>
      <c r="J183" s="43">
        <f t="shared" si="4"/>
        <v>4642</v>
      </c>
      <c r="K183" s="43">
        <v>4771</v>
      </c>
      <c r="L183" s="44">
        <f t="shared" si="5"/>
        <v>0.9729616432613708</v>
      </c>
    </row>
    <row r="184" spans="1:12" x14ac:dyDescent="0.3">
      <c r="A184" s="18">
        <v>183</v>
      </c>
      <c r="B184" s="25" t="s">
        <v>52</v>
      </c>
      <c r="C184" s="18">
        <v>6</v>
      </c>
      <c r="D184" s="25" t="s">
        <v>19</v>
      </c>
      <c r="E184" s="25" t="s">
        <v>69</v>
      </c>
      <c r="F184" s="25" t="s">
        <v>39</v>
      </c>
      <c r="G184" s="25" t="s">
        <v>72</v>
      </c>
      <c r="H184" s="40">
        <v>35</v>
      </c>
      <c r="I184" s="25">
        <v>132</v>
      </c>
      <c r="J184" s="40">
        <f t="shared" si="4"/>
        <v>4620</v>
      </c>
      <c r="K184" s="40">
        <v>4824</v>
      </c>
      <c r="L184" s="27">
        <f t="shared" si="5"/>
        <v>0.95771144278606968</v>
      </c>
    </row>
    <row r="185" spans="1:12" x14ac:dyDescent="0.3">
      <c r="A185" s="41">
        <v>184</v>
      </c>
      <c r="B185" s="42" t="s">
        <v>52</v>
      </c>
      <c r="C185" s="41">
        <v>6</v>
      </c>
      <c r="D185" s="42" t="s">
        <v>19</v>
      </c>
      <c r="E185" s="42" t="s">
        <v>69</v>
      </c>
      <c r="F185" s="42" t="s">
        <v>47</v>
      </c>
      <c r="G185" s="42" t="s">
        <v>70</v>
      </c>
      <c r="H185" s="43">
        <v>15</v>
      </c>
      <c r="I185" s="42">
        <v>158</v>
      </c>
      <c r="J185" s="43">
        <f t="shared" si="4"/>
        <v>2370</v>
      </c>
      <c r="K185" s="43">
        <v>2553</v>
      </c>
      <c r="L185" s="44">
        <f t="shared" si="5"/>
        <v>0.9283196239717979</v>
      </c>
    </row>
    <row r="186" spans="1:12" x14ac:dyDescent="0.3">
      <c r="A186" s="18">
        <v>185</v>
      </c>
      <c r="B186" s="25" t="s">
        <v>52</v>
      </c>
      <c r="C186" s="18">
        <v>6</v>
      </c>
      <c r="D186" s="25" t="s">
        <v>19</v>
      </c>
      <c r="E186" s="25" t="s">
        <v>69</v>
      </c>
      <c r="F186" s="25" t="s">
        <v>35</v>
      </c>
      <c r="G186" s="25" t="s">
        <v>71</v>
      </c>
      <c r="H186" s="40">
        <v>48</v>
      </c>
      <c r="I186" s="25">
        <v>189</v>
      </c>
      <c r="J186" s="40">
        <f t="shared" si="4"/>
        <v>9072</v>
      </c>
      <c r="K186" s="40">
        <v>10264</v>
      </c>
      <c r="L186" s="27">
        <f t="shared" si="5"/>
        <v>0.88386593920498835</v>
      </c>
    </row>
    <row r="187" spans="1:12" x14ac:dyDescent="0.3">
      <c r="A187" s="41">
        <v>186</v>
      </c>
      <c r="B187" s="42" t="s">
        <v>52</v>
      </c>
      <c r="C187" s="41">
        <v>6</v>
      </c>
      <c r="D187" s="42" t="s">
        <v>19</v>
      </c>
      <c r="E187" s="42" t="s">
        <v>69</v>
      </c>
      <c r="F187" s="42" t="s">
        <v>55</v>
      </c>
      <c r="G187" s="42" t="s">
        <v>73</v>
      </c>
      <c r="H187" s="43">
        <v>12</v>
      </c>
      <c r="I187" s="42">
        <v>121</v>
      </c>
      <c r="J187" s="43">
        <f t="shared" si="4"/>
        <v>1452</v>
      </c>
      <c r="K187" s="43">
        <v>1568</v>
      </c>
      <c r="L187" s="44">
        <f t="shared" si="5"/>
        <v>0.92602040816326525</v>
      </c>
    </row>
    <row r="188" spans="1:12" x14ac:dyDescent="0.3">
      <c r="A188" s="18">
        <v>187</v>
      </c>
      <c r="B188" s="25" t="s">
        <v>52</v>
      </c>
      <c r="C188" s="18">
        <v>6</v>
      </c>
      <c r="D188" s="25" t="s">
        <v>37</v>
      </c>
      <c r="E188" s="25" t="s">
        <v>74</v>
      </c>
      <c r="F188" s="25" t="s">
        <v>51</v>
      </c>
      <c r="G188" s="25" t="s">
        <v>70</v>
      </c>
      <c r="H188" s="40">
        <v>8.5</v>
      </c>
      <c r="I188" s="25">
        <v>183</v>
      </c>
      <c r="J188" s="40">
        <f t="shared" si="4"/>
        <v>1555.5</v>
      </c>
      <c r="K188" s="40">
        <v>1661</v>
      </c>
      <c r="L188" s="27">
        <f t="shared" si="5"/>
        <v>0.93648404575556898</v>
      </c>
    </row>
    <row r="189" spans="1:12" x14ac:dyDescent="0.3">
      <c r="A189" s="41">
        <v>188</v>
      </c>
      <c r="B189" s="42" t="s">
        <v>52</v>
      </c>
      <c r="C189" s="41">
        <v>6</v>
      </c>
      <c r="D189" s="42" t="s">
        <v>37</v>
      </c>
      <c r="E189" s="42" t="s">
        <v>74</v>
      </c>
      <c r="F189" s="42" t="s">
        <v>43</v>
      </c>
      <c r="G189" s="42" t="s">
        <v>71</v>
      </c>
      <c r="H189" s="43">
        <v>22</v>
      </c>
      <c r="I189" s="42">
        <v>131</v>
      </c>
      <c r="J189" s="43">
        <f t="shared" si="4"/>
        <v>2882</v>
      </c>
      <c r="K189" s="43">
        <v>2644</v>
      </c>
      <c r="L189" s="44">
        <f t="shared" si="5"/>
        <v>1.0900151285930408</v>
      </c>
    </row>
    <row r="190" spans="1:12" x14ac:dyDescent="0.3">
      <c r="A190" s="18">
        <v>189</v>
      </c>
      <c r="B190" s="25" t="s">
        <v>52</v>
      </c>
      <c r="C190" s="18">
        <v>6</v>
      </c>
      <c r="D190" s="25" t="s">
        <v>37</v>
      </c>
      <c r="E190" s="25" t="s">
        <v>74</v>
      </c>
      <c r="F190" s="25" t="s">
        <v>39</v>
      </c>
      <c r="G190" s="25" t="s">
        <v>72</v>
      </c>
      <c r="H190" s="40">
        <v>35</v>
      </c>
      <c r="I190" s="25">
        <v>95</v>
      </c>
      <c r="J190" s="40">
        <f t="shared" si="4"/>
        <v>3325</v>
      </c>
      <c r="K190" s="40">
        <v>3267</v>
      </c>
      <c r="L190" s="27">
        <f t="shared" si="5"/>
        <v>1.0177532904805633</v>
      </c>
    </row>
    <row r="191" spans="1:12" x14ac:dyDescent="0.3">
      <c r="A191" s="41">
        <v>190</v>
      </c>
      <c r="B191" s="42" t="s">
        <v>52</v>
      </c>
      <c r="C191" s="41">
        <v>6</v>
      </c>
      <c r="D191" s="42" t="s">
        <v>37</v>
      </c>
      <c r="E191" s="42" t="s">
        <v>74</v>
      </c>
      <c r="F191" s="42" t="s">
        <v>47</v>
      </c>
      <c r="G191" s="42" t="s">
        <v>70</v>
      </c>
      <c r="H191" s="43">
        <v>15</v>
      </c>
      <c r="I191" s="42">
        <v>107</v>
      </c>
      <c r="J191" s="43">
        <f t="shared" si="4"/>
        <v>1605</v>
      </c>
      <c r="K191" s="43">
        <v>1785</v>
      </c>
      <c r="L191" s="44">
        <f t="shared" si="5"/>
        <v>0.89915966386554624</v>
      </c>
    </row>
    <row r="192" spans="1:12" x14ac:dyDescent="0.3">
      <c r="A192" s="18">
        <v>191</v>
      </c>
      <c r="B192" s="25" t="s">
        <v>52</v>
      </c>
      <c r="C192" s="18">
        <v>6</v>
      </c>
      <c r="D192" s="25" t="s">
        <v>37</v>
      </c>
      <c r="E192" s="25" t="s">
        <v>74</v>
      </c>
      <c r="F192" s="25" t="s">
        <v>35</v>
      </c>
      <c r="G192" s="25" t="s">
        <v>71</v>
      </c>
      <c r="H192" s="40">
        <v>48</v>
      </c>
      <c r="I192" s="25">
        <v>157</v>
      </c>
      <c r="J192" s="40">
        <f t="shared" si="4"/>
        <v>7536</v>
      </c>
      <c r="K192" s="40">
        <v>7348</v>
      </c>
      <c r="L192" s="27">
        <f t="shared" si="5"/>
        <v>1.0255851932498639</v>
      </c>
    </row>
    <row r="193" spans="1:12" x14ac:dyDescent="0.3">
      <c r="A193" s="41">
        <v>192</v>
      </c>
      <c r="B193" s="42" t="s">
        <v>52</v>
      </c>
      <c r="C193" s="41">
        <v>6</v>
      </c>
      <c r="D193" s="42" t="s">
        <v>37</v>
      </c>
      <c r="E193" s="42" t="s">
        <v>74</v>
      </c>
      <c r="F193" s="42" t="s">
        <v>55</v>
      </c>
      <c r="G193" s="42" t="s">
        <v>73</v>
      </c>
      <c r="H193" s="43">
        <v>12</v>
      </c>
      <c r="I193" s="42">
        <v>75</v>
      </c>
      <c r="J193" s="43">
        <f t="shared" si="4"/>
        <v>900</v>
      </c>
      <c r="K193" s="43">
        <v>902</v>
      </c>
      <c r="L193" s="44">
        <f t="shared" si="5"/>
        <v>0.99778270509977829</v>
      </c>
    </row>
    <row r="194" spans="1:12" x14ac:dyDescent="0.3">
      <c r="A194" s="18">
        <v>193</v>
      </c>
      <c r="B194" s="25" t="s">
        <v>52</v>
      </c>
      <c r="C194" s="18">
        <v>6</v>
      </c>
      <c r="D194" s="25" t="s">
        <v>41</v>
      </c>
      <c r="E194" s="25" t="s">
        <v>75</v>
      </c>
      <c r="F194" s="25" t="s">
        <v>51</v>
      </c>
      <c r="G194" s="25" t="s">
        <v>70</v>
      </c>
      <c r="H194" s="40">
        <v>8.5</v>
      </c>
      <c r="I194" s="25">
        <v>138</v>
      </c>
      <c r="J194" s="40">
        <f t="shared" ref="J194:J257" si="6">H194*I194</f>
        <v>1173</v>
      </c>
      <c r="K194" s="40">
        <v>1142</v>
      </c>
      <c r="L194" s="27">
        <f t="shared" ref="L194:L257" si="7">J194/K194</f>
        <v>1.0271453590192645</v>
      </c>
    </row>
    <row r="195" spans="1:12" x14ac:dyDescent="0.3">
      <c r="A195" s="41">
        <v>194</v>
      </c>
      <c r="B195" s="42" t="s">
        <v>52</v>
      </c>
      <c r="C195" s="41">
        <v>6</v>
      </c>
      <c r="D195" s="42" t="s">
        <v>41</v>
      </c>
      <c r="E195" s="42" t="s">
        <v>75</v>
      </c>
      <c r="F195" s="42" t="s">
        <v>43</v>
      </c>
      <c r="G195" s="42" t="s">
        <v>71</v>
      </c>
      <c r="H195" s="43">
        <v>22</v>
      </c>
      <c r="I195" s="42">
        <v>101</v>
      </c>
      <c r="J195" s="43">
        <f t="shared" si="6"/>
        <v>2222</v>
      </c>
      <c r="K195" s="43">
        <v>2233</v>
      </c>
      <c r="L195" s="44">
        <f t="shared" si="7"/>
        <v>0.99507389162561577</v>
      </c>
    </row>
    <row r="196" spans="1:12" x14ac:dyDescent="0.3">
      <c r="A196" s="18">
        <v>195</v>
      </c>
      <c r="B196" s="25" t="s">
        <v>52</v>
      </c>
      <c r="C196" s="18">
        <v>6</v>
      </c>
      <c r="D196" s="25" t="s">
        <v>41</v>
      </c>
      <c r="E196" s="25" t="s">
        <v>75</v>
      </c>
      <c r="F196" s="25" t="s">
        <v>39</v>
      </c>
      <c r="G196" s="25" t="s">
        <v>72</v>
      </c>
      <c r="H196" s="40">
        <v>35</v>
      </c>
      <c r="I196" s="25">
        <v>86</v>
      </c>
      <c r="J196" s="40">
        <f t="shared" si="6"/>
        <v>3010</v>
      </c>
      <c r="K196" s="40">
        <v>3219</v>
      </c>
      <c r="L196" s="27">
        <f t="shared" si="7"/>
        <v>0.93507300403852123</v>
      </c>
    </row>
    <row r="197" spans="1:12" x14ac:dyDescent="0.3">
      <c r="A197" s="41">
        <v>196</v>
      </c>
      <c r="B197" s="42" t="s">
        <v>52</v>
      </c>
      <c r="C197" s="41">
        <v>6</v>
      </c>
      <c r="D197" s="42" t="s">
        <v>41</v>
      </c>
      <c r="E197" s="42" t="s">
        <v>75</v>
      </c>
      <c r="F197" s="42" t="s">
        <v>47</v>
      </c>
      <c r="G197" s="42" t="s">
        <v>70</v>
      </c>
      <c r="H197" s="43">
        <v>15</v>
      </c>
      <c r="I197" s="42">
        <v>106</v>
      </c>
      <c r="J197" s="43">
        <f t="shared" si="6"/>
        <v>1590</v>
      </c>
      <c r="K197" s="43">
        <v>1676</v>
      </c>
      <c r="L197" s="44">
        <f t="shared" si="7"/>
        <v>0.94868735083532219</v>
      </c>
    </row>
    <row r="198" spans="1:12" x14ac:dyDescent="0.3">
      <c r="A198" s="18">
        <v>197</v>
      </c>
      <c r="B198" s="25" t="s">
        <v>52</v>
      </c>
      <c r="C198" s="18">
        <v>6</v>
      </c>
      <c r="D198" s="25" t="s">
        <v>41</v>
      </c>
      <c r="E198" s="25" t="s">
        <v>75</v>
      </c>
      <c r="F198" s="25" t="s">
        <v>35</v>
      </c>
      <c r="G198" s="25" t="s">
        <v>71</v>
      </c>
      <c r="H198" s="40">
        <v>48</v>
      </c>
      <c r="I198" s="25">
        <v>116</v>
      </c>
      <c r="J198" s="40">
        <f t="shared" si="6"/>
        <v>5568</v>
      </c>
      <c r="K198" s="40">
        <v>5774</v>
      </c>
      <c r="L198" s="27">
        <f t="shared" si="7"/>
        <v>0.96432282646345691</v>
      </c>
    </row>
    <row r="199" spans="1:12" x14ac:dyDescent="0.3">
      <c r="A199" s="41">
        <v>198</v>
      </c>
      <c r="B199" s="42" t="s">
        <v>52</v>
      </c>
      <c r="C199" s="41">
        <v>6</v>
      </c>
      <c r="D199" s="42" t="s">
        <v>41</v>
      </c>
      <c r="E199" s="42" t="s">
        <v>75</v>
      </c>
      <c r="F199" s="42" t="s">
        <v>55</v>
      </c>
      <c r="G199" s="42" t="s">
        <v>73</v>
      </c>
      <c r="H199" s="43">
        <v>12</v>
      </c>
      <c r="I199" s="42">
        <v>56</v>
      </c>
      <c r="J199" s="43">
        <f t="shared" si="6"/>
        <v>672</v>
      </c>
      <c r="K199" s="43">
        <v>653</v>
      </c>
      <c r="L199" s="44">
        <f t="shared" si="7"/>
        <v>1.0290964777947933</v>
      </c>
    </row>
    <row r="200" spans="1:12" x14ac:dyDescent="0.3">
      <c r="A200" s="18">
        <v>199</v>
      </c>
      <c r="B200" s="25" t="s">
        <v>52</v>
      </c>
      <c r="C200" s="18">
        <v>6</v>
      </c>
      <c r="D200" s="25" t="s">
        <v>49</v>
      </c>
      <c r="E200" s="25" t="s">
        <v>76</v>
      </c>
      <c r="F200" s="25" t="s">
        <v>51</v>
      </c>
      <c r="G200" s="25" t="s">
        <v>70</v>
      </c>
      <c r="H200" s="40">
        <v>8.5</v>
      </c>
      <c r="I200" s="25">
        <v>125</v>
      </c>
      <c r="J200" s="40">
        <f t="shared" si="6"/>
        <v>1062.5</v>
      </c>
      <c r="K200" s="40">
        <v>1110</v>
      </c>
      <c r="L200" s="27">
        <f t="shared" si="7"/>
        <v>0.9572072072072072</v>
      </c>
    </row>
    <row r="201" spans="1:12" x14ac:dyDescent="0.3">
      <c r="A201" s="41">
        <v>200</v>
      </c>
      <c r="B201" s="42" t="s">
        <v>52</v>
      </c>
      <c r="C201" s="41">
        <v>6</v>
      </c>
      <c r="D201" s="42" t="s">
        <v>49</v>
      </c>
      <c r="E201" s="42" t="s">
        <v>76</v>
      </c>
      <c r="F201" s="42" t="s">
        <v>43</v>
      </c>
      <c r="G201" s="42" t="s">
        <v>71</v>
      </c>
      <c r="H201" s="43">
        <v>22</v>
      </c>
      <c r="I201" s="42">
        <v>107</v>
      </c>
      <c r="J201" s="43">
        <f t="shared" si="6"/>
        <v>2354</v>
      </c>
      <c r="K201" s="43">
        <v>2392</v>
      </c>
      <c r="L201" s="44">
        <f t="shared" si="7"/>
        <v>0.98411371237458189</v>
      </c>
    </row>
    <row r="202" spans="1:12" x14ac:dyDescent="0.3">
      <c r="A202" s="18">
        <v>201</v>
      </c>
      <c r="B202" s="25" t="s">
        <v>52</v>
      </c>
      <c r="C202" s="18">
        <v>6</v>
      </c>
      <c r="D202" s="25" t="s">
        <v>49</v>
      </c>
      <c r="E202" s="25" t="s">
        <v>76</v>
      </c>
      <c r="F202" s="25" t="s">
        <v>39</v>
      </c>
      <c r="G202" s="25" t="s">
        <v>72</v>
      </c>
      <c r="H202" s="40">
        <v>35</v>
      </c>
      <c r="I202" s="25">
        <v>67</v>
      </c>
      <c r="J202" s="40">
        <f t="shared" si="6"/>
        <v>2345</v>
      </c>
      <c r="K202" s="40">
        <v>2236</v>
      </c>
      <c r="L202" s="27">
        <f t="shared" si="7"/>
        <v>1.048747763864043</v>
      </c>
    </row>
    <row r="203" spans="1:12" x14ac:dyDescent="0.3">
      <c r="A203" s="41">
        <v>202</v>
      </c>
      <c r="B203" s="42" t="s">
        <v>52</v>
      </c>
      <c r="C203" s="41">
        <v>6</v>
      </c>
      <c r="D203" s="42" t="s">
        <v>49</v>
      </c>
      <c r="E203" s="42" t="s">
        <v>76</v>
      </c>
      <c r="F203" s="42" t="s">
        <v>47</v>
      </c>
      <c r="G203" s="42" t="s">
        <v>70</v>
      </c>
      <c r="H203" s="43">
        <v>15</v>
      </c>
      <c r="I203" s="42">
        <v>84</v>
      </c>
      <c r="J203" s="43">
        <f t="shared" si="6"/>
        <v>1260</v>
      </c>
      <c r="K203" s="43">
        <v>1418</v>
      </c>
      <c r="L203" s="44">
        <f t="shared" si="7"/>
        <v>0.8885754583921015</v>
      </c>
    </row>
    <row r="204" spans="1:12" x14ac:dyDescent="0.3">
      <c r="A204" s="18">
        <v>203</v>
      </c>
      <c r="B204" s="25" t="s">
        <v>52</v>
      </c>
      <c r="C204" s="18">
        <v>6</v>
      </c>
      <c r="D204" s="25" t="s">
        <v>49</v>
      </c>
      <c r="E204" s="25" t="s">
        <v>76</v>
      </c>
      <c r="F204" s="25" t="s">
        <v>35</v>
      </c>
      <c r="G204" s="25" t="s">
        <v>71</v>
      </c>
      <c r="H204" s="40">
        <v>48</v>
      </c>
      <c r="I204" s="25">
        <v>121</v>
      </c>
      <c r="J204" s="40">
        <f t="shared" si="6"/>
        <v>5808</v>
      </c>
      <c r="K204" s="40">
        <v>5474</v>
      </c>
      <c r="L204" s="27">
        <f t="shared" si="7"/>
        <v>1.061015710632079</v>
      </c>
    </row>
    <row r="205" spans="1:12" x14ac:dyDescent="0.3">
      <c r="A205" s="41">
        <v>204</v>
      </c>
      <c r="B205" s="42" t="s">
        <v>52</v>
      </c>
      <c r="C205" s="41">
        <v>6</v>
      </c>
      <c r="D205" s="42" t="s">
        <v>49</v>
      </c>
      <c r="E205" s="42" t="s">
        <v>76</v>
      </c>
      <c r="F205" s="42" t="s">
        <v>55</v>
      </c>
      <c r="G205" s="42" t="s">
        <v>73</v>
      </c>
      <c r="H205" s="43">
        <v>12</v>
      </c>
      <c r="I205" s="42">
        <v>52</v>
      </c>
      <c r="J205" s="43">
        <f t="shared" si="6"/>
        <v>624</v>
      </c>
      <c r="K205" s="43">
        <v>642</v>
      </c>
      <c r="L205" s="44">
        <f t="shared" si="7"/>
        <v>0.9719626168224299</v>
      </c>
    </row>
    <row r="206" spans="1:12" x14ac:dyDescent="0.3">
      <c r="A206" s="18">
        <v>205</v>
      </c>
      <c r="B206" s="25" t="s">
        <v>52</v>
      </c>
      <c r="C206" s="18">
        <v>6</v>
      </c>
      <c r="D206" s="25" t="s">
        <v>53</v>
      </c>
      <c r="E206" s="25" t="s">
        <v>77</v>
      </c>
      <c r="F206" s="25" t="s">
        <v>51</v>
      </c>
      <c r="G206" s="25" t="s">
        <v>70</v>
      </c>
      <c r="H206" s="40">
        <v>8.5</v>
      </c>
      <c r="I206" s="25">
        <v>118</v>
      </c>
      <c r="J206" s="40">
        <f t="shared" si="6"/>
        <v>1003</v>
      </c>
      <c r="K206" s="40">
        <v>987</v>
      </c>
      <c r="L206" s="27">
        <f t="shared" si="7"/>
        <v>1.0162107396149949</v>
      </c>
    </row>
    <row r="207" spans="1:12" x14ac:dyDescent="0.3">
      <c r="A207" s="41">
        <v>206</v>
      </c>
      <c r="B207" s="42" t="s">
        <v>52</v>
      </c>
      <c r="C207" s="41">
        <v>6</v>
      </c>
      <c r="D207" s="42" t="s">
        <v>53</v>
      </c>
      <c r="E207" s="42" t="s">
        <v>77</v>
      </c>
      <c r="F207" s="42" t="s">
        <v>43</v>
      </c>
      <c r="G207" s="42" t="s">
        <v>71</v>
      </c>
      <c r="H207" s="43">
        <v>22</v>
      </c>
      <c r="I207" s="42">
        <v>99</v>
      </c>
      <c r="J207" s="43">
        <f t="shared" si="6"/>
        <v>2178</v>
      </c>
      <c r="K207" s="43">
        <v>2369</v>
      </c>
      <c r="L207" s="44">
        <f t="shared" si="7"/>
        <v>0.91937526382439849</v>
      </c>
    </row>
    <row r="208" spans="1:12" x14ac:dyDescent="0.3">
      <c r="A208" s="18">
        <v>207</v>
      </c>
      <c r="B208" s="25" t="s">
        <v>52</v>
      </c>
      <c r="C208" s="18">
        <v>6</v>
      </c>
      <c r="D208" s="25" t="s">
        <v>53</v>
      </c>
      <c r="E208" s="25" t="s">
        <v>77</v>
      </c>
      <c r="F208" s="25" t="s">
        <v>39</v>
      </c>
      <c r="G208" s="25" t="s">
        <v>72</v>
      </c>
      <c r="H208" s="40">
        <v>35</v>
      </c>
      <c r="I208" s="25">
        <v>63</v>
      </c>
      <c r="J208" s="40">
        <f t="shared" si="6"/>
        <v>2205</v>
      </c>
      <c r="K208" s="40">
        <v>2108</v>
      </c>
      <c r="L208" s="27">
        <f t="shared" si="7"/>
        <v>1.0460151802656545</v>
      </c>
    </row>
    <row r="209" spans="1:12" x14ac:dyDescent="0.3">
      <c r="A209" s="41">
        <v>208</v>
      </c>
      <c r="B209" s="42" t="s">
        <v>52</v>
      </c>
      <c r="C209" s="41">
        <v>6</v>
      </c>
      <c r="D209" s="42" t="s">
        <v>53</v>
      </c>
      <c r="E209" s="42" t="s">
        <v>77</v>
      </c>
      <c r="F209" s="42" t="s">
        <v>47</v>
      </c>
      <c r="G209" s="42" t="s">
        <v>70</v>
      </c>
      <c r="H209" s="43">
        <v>15</v>
      </c>
      <c r="I209" s="42">
        <v>69</v>
      </c>
      <c r="J209" s="43">
        <f t="shared" si="6"/>
        <v>1035</v>
      </c>
      <c r="K209" s="43">
        <v>938</v>
      </c>
      <c r="L209" s="44">
        <f t="shared" si="7"/>
        <v>1.1034115138592751</v>
      </c>
    </row>
    <row r="210" spans="1:12" x14ac:dyDescent="0.3">
      <c r="A210" s="18">
        <v>209</v>
      </c>
      <c r="B210" s="25" t="s">
        <v>52</v>
      </c>
      <c r="C210" s="18">
        <v>6</v>
      </c>
      <c r="D210" s="25" t="s">
        <v>53</v>
      </c>
      <c r="E210" s="25" t="s">
        <v>77</v>
      </c>
      <c r="F210" s="25" t="s">
        <v>35</v>
      </c>
      <c r="G210" s="25" t="s">
        <v>71</v>
      </c>
      <c r="H210" s="40">
        <v>48</v>
      </c>
      <c r="I210" s="25">
        <v>91</v>
      </c>
      <c r="J210" s="40">
        <f t="shared" si="6"/>
        <v>4368</v>
      </c>
      <c r="K210" s="40">
        <v>4450</v>
      </c>
      <c r="L210" s="27">
        <f t="shared" si="7"/>
        <v>0.98157303370786519</v>
      </c>
    </row>
    <row r="211" spans="1:12" x14ac:dyDescent="0.3">
      <c r="A211" s="41">
        <v>210</v>
      </c>
      <c r="B211" s="42" t="s">
        <v>52</v>
      </c>
      <c r="C211" s="41">
        <v>6</v>
      </c>
      <c r="D211" s="42" t="s">
        <v>53</v>
      </c>
      <c r="E211" s="42" t="s">
        <v>77</v>
      </c>
      <c r="F211" s="42" t="s">
        <v>55</v>
      </c>
      <c r="G211" s="42" t="s">
        <v>73</v>
      </c>
      <c r="H211" s="43">
        <v>12</v>
      </c>
      <c r="I211" s="42">
        <v>58</v>
      </c>
      <c r="J211" s="43">
        <f t="shared" si="6"/>
        <v>696</v>
      </c>
      <c r="K211" s="43">
        <v>639</v>
      </c>
      <c r="L211" s="44">
        <f t="shared" si="7"/>
        <v>1.0892018779342723</v>
      </c>
    </row>
    <row r="212" spans="1:12" x14ac:dyDescent="0.3">
      <c r="A212" s="18">
        <v>211</v>
      </c>
      <c r="B212" s="25" t="s">
        <v>52</v>
      </c>
      <c r="C212" s="18">
        <v>6</v>
      </c>
      <c r="D212" s="25" t="s">
        <v>45</v>
      </c>
      <c r="E212" s="25" t="s">
        <v>78</v>
      </c>
      <c r="F212" s="25" t="s">
        <v>51</v>
      </c>
      <c r="G212" s="25" t="s">
        <v>70</v>
      </c>
      <c r="H212" s="40">
        <v>8.5</v>
      </c>
      <c r="I212" s="25">
        <v>131</v>
      </c>
      <c r="J212" s="40">
        <f t="shared" si="6"/>
        <v>1113.5</v>
      </c>
      <c r="K212" s="40">
        <v>1177</v>
      </c>
      <c r="L212" s="27">
        <f t="shared" si="7"/>
        <v>0.94604927782497872</v>
      </c>
    </row>
    <row r="213" spans="1:12" x14ac:dyDescent="0.3">
      <c r="A213" s="41">
        <v>212</v>
      </c>
      <c r="B213" s="42" t="s">
        <v>52</v>
      </c>
      <c r="C213" s="41">
        <v>6</v>
      </c>
      <c r="D213" s="42" t="s">
        <v>45</v>
      </c>
      <c r="E213" s="42" t="s">
        <v>78</v>
      </c>
      <c r="F213" s="42" t="s">
        <v>43</v>
      </c>
      <c r="G213" s="42" t="s">
        <v>71</v>
      </c>
      <c r="H213" s="43">
        <v>22</v>
      </c>
      <c r="I213" s="42">
        <v>98</v>
      </c>
      <c r="J213" s="43">
        <f t="shared" si="6"/>
        <v>2156</v>
      </c>
      <c r="K213" s="43">
        <v>2316</v>
      </c>
      <c r="L213" s="44">
        <f t="shared" si="7"/>
        <v>0.93091537132987912</v>
      </c>
    </row>
    <row r="214" spans="1:12" x14ac:dyDescent="0.3">
      <c r="A214" s="18">
        <v>213</v>
      </c>
      <c r="B214" s="25" t="s">
        <v>52</v>
      </c>
      <c r="C214" s="18">
        <v>6</v>
      </c>
      <c r="D214" s="25" t="s">
        <v>45</v>
      </c>
      <c r="E214" s="25" t="s">
        <v>78</v>
      </c>
      <c r="F214" s="25" t="s">
        <v>39</v>
      </c>
      <c r="G214" s="25" t="s">
        <v>72</v>
      </c>
      <c r="H214" s="40">
        <v>35</v>
      </c>
      <c r="I214" s="25">
        <v>72</v>
      </c>
      <c r="J214" s="40">
        <f t="shared" si="6"/>
        <v>2520</v>
      </c>
      <c r="K214" s="40">
        <v>2422</v>
      </c>
      <c r="L214" s="27">
        <f t="shared" si="7"/>
        <v>1.0404624277456647</v>
      </c>
    </row>
    <row r="215" spans="1:12" x14ac:dyDescent="0.3">
      <c r="A215" s="41">
        <v>214</v>
      </c>
      <c r="B215" s="42" t="s">
        <v>52</v>
      </c>
      <c r="C215" s="41">
        <v>6</v>
      </c>
      <c r="D215" s="42" t="s">
        <v>45</v>
      </c>
      <c r="E215" s="42" t="s">
        <v>78</v>
      </c>
      <c r="F215" s="42" t="s">
        <v>47</v>
      </c>
      <c r="G215" s="42" t="s">
        <v>70</v>
      </c>
      <c r="H215" s="43">
        <v>15</v>
      </c>
      <c r="I215" s="42">
        <v>94</v>
      </c>
      <c r="J215" s="43">
        <f t="shared" si="6"/>
        <v>1410</v>
      </c>
      <c r="K215" s="43">
        <v>1271</v>
      </c>
      <c r="L215" s="44">
        <f t="shared" si="7"/>
        <v>1.1093627065302911</v>
      </c>
    </row>
    <row r="216" spans="1:12" x14ac:dyDescent="0.3">
      <c r="A216" s="18">
        <v>215</v>
      </c>
      <c r="B216" s="25" t="s">
        <v>52</v>
      </c>
      <c r="C216" s="18">
        <v>6</v>
      </c>
      <c r="D216" s="25" t="s">
        <v>45</v>
      </c>
      <c r="E216" s="25" t="s">
        <v>78</v>
      </c>
      <c r="F216" s="25" t="s">
        <v>35</v>
      </c>
      <c r="G216" s="25" t="s">
        <v>71</v>
      </c>
      <c r="H216" s="40">
        <v>48</v>
      </c>
      <c r="I216" s="25">
        <v>126</v>
      </c>
      <c r="J216" s="40">
        <f t="shared" si="6"/>
        <v>6048</v>
      </c>
      <c r="K216" s="40">
        <v>6608</v>
      </c>
      <c r="L216" s="27">
        <f t="shared" si="7"/>
        <v>0.9152542372881356</v>
      </c>
    </row>
    <row r="217" spans="1:12" x14ac:dyDescent="0.3">
      <c r="A217" s="41">
        <v>216</v>
      </c>
      <c r="B217" s="42" t="s">
        <v>52</v>
      </c>
      <c r="C217" s="41">
        <v>6</v>
      </c>
      <c r="D217" s="42" t="s">
        <v>45</v>
      </c>
      <c r="E217" s="42" t="s">
        <v>78</v>
      </c>
      <c r="F217" s="42" t="s">
        <v>55</v>
      </c>
      <c r="G217" s="42" t="s">
        <v>73</v>
      </c>
      <c r="H217" s="43">
        <v>12</v>
      </c>
      <c r="I217" s="42">
        <v>55</v>
      </c>
      <c r="J217" s="43">
        <f t="shared" si="6"/>
        <v>660</v>
      </c>
      <c r="K217" s="43">
        <v>664</v>
      </c>
      <c r="L217" s="44">
        <f t="shared" si="7"/>
        <v>0.99397590361445787</v>
      </c>
    </row>
    <row r="218" spans="1:12" x14ac:dyDescent="0.3">
      <c r="A218" s="18">
        <v>217</v>
      </c>
      <c r="B218" s="25" t="s">
        <v>56</v>
      </c>
      <c r="C218" s="18">
        <v>7</v>
      </c>
      <c r="D218" s="25" t="s">
        <v>19</v>
      </c>
      <c r="E218" s="25" t="s">
        <v>69</v>
      </c>
      <c r="F218" s="25" t="s">
        <v>51</v>
      </c>
      <c r="G218" s="25" t="s">
        <v>70</v>
      </c>
      <c r="H218" s="40">
        <v>8.5</v>
      </c>
      <c r="I218" s="25">
        <v>194</v>
      </c>
      <c r="J218" s="40">
        <f t="shared" si="6"/>
        <v>1649</v>
      </c>
      <c r="K218" s="40">
        <v>1879</v>
      </c>
      <c r="L218" s="27">
        <f t="shared" si="7"/>
        <v>0.87759446514103245</v>
      </c>
    </row>
    <row r="219" spans="1:12" x14ac:dyDescent="0.3">
      <c r="A219" s="41">
        <v>218</v>
      </c>
      <c r="B219" s="42" t="s">
        <v>56</v>
      </c>
      <c r="C219" s="41">
        <v>7</v>
      </c>
      <c r="D219" s="42" t="s">
        <v>19</v>
      </c>
      <c r="E219" s="42" t="s">
        <v>69</v>
      </c>
      <c r="F219" s="42" t="s">
        <v>43</v>
      </c>
      <c r="G219" s="42" t="s">
        <v>71</v>
      </c>
      <c r="H219" s="43">
        <v>22</v>
      </c>
      <c r="I219" s="42">
        <v>173</v>
      </c>
      <c r="J219" s="43">
        <f t="shared" si="6"/>
        <v>3806</v>
      </c>
      <c r="K219" s="43">
        <v>3473</v>
      </c>
      <c r="L219" s="44">
        <f t="shared" si="7"/>
        <v>1.0958825223150015</v>
      </c>
    </row>
    <row r="220" spans="1:12" x14ac:dyDescent="0.3">
      <c r="A220" s="18">
        <v>219</v>
      </c>
      <c r="B220" s="25" t="s">
        <v>56</v>
      </c>
      <c r="C220" s="18">
        <v>7</v>
      </c>
      <c r="D220" s="25" t="s">
        <v>19</v>
      </c>
      <c r="E220" s="25" t="s">
        <v>69</v>
      </c>
      <c r="F220" s="25" t="s">
        <v>39</v>
      </c>
      <c r="G220" s="25" t="s">
        <v>72</v>
      </c>
      <c r="H220" s="40">
        <v>35</v>
      </c>
      <c r="I220" s="25">
        <v>106</v>
      </c>
      <c r="J220" s="40">
        <f t="shared" si="6"/>
        <v>3710</v>
      </c>
      <c r="K220" s="40">
        <v>4126</v>
      </c>
      <c r="L220" s="27">
        <f t="shared" si="7"/>
        <v>0.89917595734367428</v>
      </c>
    </row>
    <row r="221" spans="1:12" x14ac:dyDescent="0.3">
      <c r="A221" s="41">
        <v>220</v>
      </c>
      <c r="B221" s="42" t="s">
        <v>56</v>
      </c>
      <c r="C221" s="41">
        <v>7</v>
      </c>
      <c r="D221" s="42" t="s">
        <v>19</v>
      </c>
      <c r="E221" s="42" t="s">
        <v>69</v>
      </c>
      <c r="F221" s="42" t="s">
        <v>47</v>
      </c>
      <c r="G221" s="42" t="s">
        <v>70</v>
      </c>
      <c r="H221" s="43">
        <v>15</v>
      </c>
      <c r="I221" s="42">
        <v>142</v>
      </c>
      <c r="J221" s="43">
        <f t="shared" si="6"/>
        <v>2130</v>
      </c>
      <c r="K221" s="43">
        <v>2344</v>
      </c>
      <c r="L221" s="44">
        <f t="shared" si="7"/>
        <v>0.90870307167235498</v>
      </c>
    </row>
    <row r="222" spans="1:12" x14ac:dyDescent="0.3">
      <c r="A222" s="18">
        <v>221</v>
      </c>
      <c r="B222" s="25" t="s">
        <v>56</v>
      </c>
      <c r="C222" s="18">
        <v>7</v>
      </c>
      <c r="D222" s="25" t="s">
        <v>19</v>
      </c>
      <c r="E222" s="25" t="s">
        <v>69</v>
      </c>
      <c r="F222" s="25" t="s">
        <v>35</v>
      </c>
      <c r="G222" s="25" t="s">
        <v>71</v>
      </c>
      <c r="H222" s="40">
        <v>48</v>
      </c>
      <c r="I222" s="25">
        <v>196</v>
      </c>
      <c r="J222" s="40">
        <f t="shared" si="6"/>
        <v>9408</v>
      </c>
      <c r="K222" s="40">
        <v>10791</v>
      </c>
      <c r="L222" s="27">
        <f t="shared" si="7"/>
        <v>0.8718376424798443</v>
      </c>
    </row>
    <row r="223" spans="1:12" x14ac:dyDescent="0.3">
      <c r="A223" s="41">
        <v>222</v>
      </c>
      <c r="B223" s="42" t="s">
        <v>56</v>
      </c>
      <c r="C223" s="41">
        <v>7</v>
      </c>
      <c r="D223" s="42" t="s">
        <v>19</v>
      </c>
      <c r="E223" s="42" t="s">
        <v>69</v>
      </c>
      <c r="F223" s="42" t="s">
        <v>55</v>
      </c>
      <c r="G223" s="42" t="s">
        <v>73</v>
      </c>
      <c r="H223" s="43">
        <v>12</v>
      </c>
      <c r="I223" s="42">
        <v>103</v>
      </c>
      <c r="J223" s="43">
        <f t="shared" si="6"/>
        <v>1236</v>
      </c>
      <c r="K223" s="43">
        <v>1406</v>
      </c>
      <c r="L223" s="44">
        <f t="shared" si="7"/>
        <v>0.87908961593172119</v>
      </c>
    </row>
    <row r="224" spans="1:12" x14ac:dyDescent="0.3">
      <c r="A224" s="18">
        <v>223</v>
      </c>
      <c r="B224" s="25" t="s">
        <v>56</v>
      </c>
      <c r="C224" s="18">
        <v>7</v>
      </c>
      <c r="D224" s="25" t="s">
        <v>37</v>
      </c>
      <c r="E224" s="25" t="s">
        <v>74</v>
      </c>
      <c r="F224" s="25" t="s">
        <v>51</v>
      </c>
      <c r="G224" s="25" t="s">
        <v>70</v>
      </c>
      <c r="H224" s="40">
        <v>8.5</v>
      </c>
      <c r="I224" s="25">
        <v>160</v>
      </c>
      <c r="J224" s="40">
        <f t="shared" si="6"/>
        <v>1360</v>
      </c>
      <c r="K224" s="40">
        <v>1432</v>
      </c>
      <c r="L224" s="27">
        <f t="shared" si="7"/>
        <v>0.94972067039106145</v>
      </c>
    </row>
    <row r="225" spans="1:12" x14ac:dyDescent="0.3">
      <c r="A225" s="41">
        <v>224</v>
      </c>
      <c r="B225" s="42" t="s">
        <v>56</v>
      </c>
      <c r="C225" s="41">
        <v>7</v>
      </c>
      <c r="D225" s="42" t="s">
        <v>37</v>
      </c>
      <c r="E225" s="42" t="s">
        <v>74</v>
      </c>
      <c r="F225" s="42" t="s">
        <v>43</v>
      </c>
      <c r="G225" s="42" t="s">
        <v>71</v>
      </c>
      <c r="H225" s="43">
        <v>22</v>
      </c>
      <c r="I225" s="42">
        <v>122</v>
      </c>
      <c r="J225" s="43">
        <f t="shared" si="6"/>
        <v>2684</v>
      </c>
      <c r="K225" s="43">
        <v>2754</v>
      </c>
      <c r="L225" s="44">
        <f t="shared" si="7"/>
        <v>0.97458242556281771</v>
      </c>
    </row>
    <row r="226" spans="1:12" x14ac:dyDescent="0.3">
      <c r="A226" s="18">
        <v>225</v>
      </c>
      <c r="B226" s="25" t="s">
        <v>56</v>
      </c>
      <c r="C226" s="18">
        <v>7</v>
      </c>
      <c r="D226" s="25" t="s">
        <v>37</v>
      </c>
      <c r="E226" s="25" t="s">
        <v>74</v>
      </c>
      <c r="F226" s="25" t="s">
        <v>39</v>
      </c>
      <c r="G226" s="25" t="s">
        <v>72</v>
      </c>
      <c r="H226" s="40">
        <v>35</v>
      </c>
      <c r="I226" s="25">
        <v>84</v>
      </c>
      <c r="J226" s="40">
        <f t="shared" si="6"/>
        <v>2940</v>
      </c>
      <c r="K226" s="40">
        <v>3049</v>
      </c>
      <c r="L226" s="27">
        <f t="shared" si="7"/>
        <v>0.96425057395867497</v>
      </c>
    </row>
    <row r="227" spans="1:12" x14ac:dyDescent="0.3">
      <c r="A227" s="41">
        <v>226</v>
      </c>
      <c r="B227" s="42" t="s">
        <v>56</v>
      </c>
      <c r="C227" s="41">
        <v>7</v>
      </c>
      <c r="D227" s="42" t="s">
        <v>37</v>
      </c>
      <c r="E227" s="42" t="s">
        <v>74</v>
      </c>
      <c r="F227" s="42" t="s">
        <v>47</v>
      </c>
      <c r="G227" s="42" t="s">
        <v>70</v>
      </c>
      <c r="H227" s="43">
        <v>15</v>
      </c>
      <c r="I227" s="42">
        <v>107</v>
      </c>
      <c r="J227" s="43">
        <f t="shared" si="6"/>
        <v>1605</v>
      </c>
      <c r="K227" s="43">
        <v>1743</v>
      </c>
      <c r="L227" s="44">
        <f t="shared" si="7"/>
        <v>0.92082616179001719</v>
      </c>
    </row>
    <row r="228" spans="1:12" x14ac:dyDescent="0.3">
      <c r="A228" s="18">
        <v>227</v>
      </c>
      <c r="B228" s="25" t="s">
        <v>56</v>
      </c>
      <c r="C228" s="18">
        <v>7</v>
      </c>
      <c r="D228" s="25" t="s">
        <v>37</v>
      </c>
      <c r="E228" s="25" t="s">
        <v>74</v>
      </c>
      <c r="F228" s="25" t="s">
        <v>35</v>
      </c>
      <c r="G228" s="25" t="s">
        <v>71</v>
      </c>
      <c r="H228" s="40">
        <v>48</v>
      </c>
      <c r="I228" s="25">
        <v>123</v>
      </c>
      <c r="J228" s="40">
        <f t="shared" si="6"/>
        <v>5904</v>
      </c>
      <c r="K228" s="40">
        <v>5696</v>
      </c>
      <c r="L228" s="27">
        <f t="shared" si="7"/>
        <v>1.0365168539325842</v>
      </c>
    </row>
    <row r="229" spans="1:12" x14ac:dyDescent="0.3">
      <c r="A229" s="41">
        <v>228</v>
      </c>
      <c r="B229" s="42" t="s">
        <v>56</v>
      </c>
      <c r="C229" s="41">
        <v>7</v>
      </c>
      <c r="D229" s="42" t="s">
        <v>37</v>
      </c>
      <c r="E229" s="42" t="s">
        <v>74</v>
      </c>
      <c r="F229" s="42" t="s">
        <v>55</v>
      </c>
      <c r="G229" s="42" t="s">
        <v>73</v>
      </c>
      <c r="H229" s="43">
        <v>12</v>
      </c>
      <c r="I229" s="42">
        <v>62</v>
      </c>
      <c r="J229" s="43">
        <f t="shared" si="6"/>
        <v>744</v>
      </c>
      <c r="K229" s="43">
        <v>788</v>
      </c>
      <c r="L229" s="44">
        <f t="shared" si="7"/>
        <v>0.9441624365482234</v>
      </c>
    </row>
    <row r="230" spans="1:12" x14ac:dyDescent="0.3">
      <c r="A230" s="18">
        <v>229</v>
      </c>
      <c r="B230" s="25" t="s">
        <v>56</v>
      </c>
      <c r="C230" s="18">
        <v>7</v>
      </c>
      <c r="D230" s="25" t="s">
        <v>41</v>
      </c>
      <c r="E230" s="25" t="s">
        <v>75</v>
      </c>
      <c r="F230" s="25" t="s">
        <v>51</v>
      </c>
      <c r="G230" s="25" t="s">
        <v>70</v>
      </c>
      <c r="H230" s="40">
        <v>8.5</v>
      </c>
      <c r="I230" s="25">
        <v>129</v>
      </c>
      <c r="J230" s="40">
        <f t="shared" si="6"/>
        <v>1096.5</v>
      </c>
      <c r="K230" s="40">
        <v>1130</v>
      </c>
      <c r="L230" s="27">
        <f t="shared" si="7"/>
        <v>0.97035398230088499</v>
      </c>
    </row>
    <row r="231" spans="1:12" x14ac:dyDescent="0.3">
      <c r="A231" s="41">
        <v>230</v>
      </c>
      <c r="B231" s="42" t="s">
        <v>56</v>
      </c>
      <c r="C231" s="41">
        <v>7</v>
      </c>
      <c r="D231" s="42" t="s">
        <v>41</v>
      </c>
      <c r="E231" s="42" t="s">
        <v>75</v>
      </c>
      <c r="F231" s="42" t="s">
        <v>43</v>
      </c>
      <c r="G231" s="42" t="s">
        <v>71</v>
      </c>
      <c r="H231" s="43">
        <v>22</v>
      </c>
      <c r="I231" s="42">
        <v>99</v>
      </c>
      <c r="J231" s="43">
        <f t="shared" si="6"/>
        <v>2178</v>
      </c>
      <c r="K231" s="43">
        <v>2110</v>
      </c>
      <c r="L231" s="44">
        <f t="shared" si="7"/>
        <v>1.0322274881516589</v>
      </c>
    </row>
    <row r="232" spans="1:12" x14ac:dyDescent="0.3">
      <c r="A232" s="18">
        <v>231</v>
      </c>
      <c r="B232" s="25" t="s">
        <v>56</v>
      </c>
      <c r="C232" s="18">
        <v>7</v>
      </c>
      <c r="D232" s="25" t="s">
        <v>41</v>
      </c>
      <c r="E232" s="25" t="s">
        <v>75</v>
      </c>
      <c r="F232" s="25" t="s">
        <v>39</v>
      </c>
      <c r="G232" s="25" t="s">
        <v>72</v>
      </c>
      <c r="H232" s="40">
        <v>35</v>
      </c>
      <c r="I232" s="25">
        <v>55</v>
      </c>
      <c r="J232" s="40">
        <f t="shared" si="6"/>
        <v>1925</v>
      </c>
      <c r="K232" s="40">
        <v>1870</v>
      </c>
      <c r="L232" s="27">
        <f t="shared" si="7"/>
        <v>1.0294117647058822</v>
      </c>
    </row>
    <row r="233" spans="1:12" x14ac:dyDescent="0.3">
      <c r="A233" s="41">
        <v>232</v>
      </c>
      <c r="B233" s="42" t="s">
        <v>56</v>
      </c>
      <c r="C233" s="41">
        <v>7</v>
      </c>
      <c r="D233" s="42" t="s">
        <v>41</v>
      </c>
      <c r="E233" s="42" t="s">
        <v>75</v>
      </c>
      <c r="F233" s="42" t="s">
        <v>47</v>
      </c>
      <c r="G233" s="42" t="s">
        <v>70</v>
      </c>
      <c r="H233" s="43">
        <v>15</v>
      </c>
      <c r="I233" s="42">
        <v>74</v>
      </c>
      <c r="J233" s="43">
        <f t="shared" si="6"/>
        <v>1110</v>
      </c>
      <c r="K233" s="43">
        <v>1088</v>
      </c>
      <c r="L233" s="44">
        <f t="shared" si="7"/>
        <v>1.0202205882352942</v>
      </c>
    </row>
    <row r="234" spans="1:12" x14ac:dyDescent="0.3">
      <c r="A234" s="18">
        <v>233</v>
      </c>
      <c r="B234" s="25" t="s">
        <v>56</v>
      </c>
      <c r="C234" s="18">
        <v>7</v>
      </c>
      <c r="D234" s="25" t="s">
        <v>41</v>
      </c>
      <c r="E234" s="25" t="s">
        <v>75</v>
      </c>
      <c r="F234" s="25" t="s">
        <v>35</v>
      </c>
      <c r="G234" s="25" t="s">
        <v>71</v>
      </c>
      <c r="H234" s="40">
        <v>48</v>
      </c>
      <c r="I234" s="25">
        <v>105</v>
      </c>
      <c r="J234" s="40">
        <f t="shared" si="6"/>
        <v>5040</v>
      </c>
      <c r="K234" s="40">
        <v>4710</v>
      </c>
      <c r="L234" s="27">
        <f t="shared" si="7"/>
        <v>1.0700636942675159</v>
      </c>
    </row>
    <row r="235" spans="1:12" x14ac:dyDescent="0.3">
      <c r="A235" s="41">
        <v>234</v>
      </c>
      <c r="B235" s="42" t="s">
        <v>56</v>
      </c>
      <c r="C235" s="41">
        <v>7</v>
      </c>
      <c r="D235" s="42" t="s">
        <v>41</v>
      </c>
      <c r="E235" s="42" t="s">
        <v>75</v>
      </c>
      <c r="F235" s="42" t="s">
        <v>55</v>
      </c>
      <c r="G235" s="42" t="s">
        <v>73</v>
      </c>
      <c r="H235" s="43">
        <v>12</v>
      </c>
      <c r="I235" s="42">
        <v>51</v>
      </c>
      <c r="J235" s="43">
        <f t="shared" si="6"/>
        <v>612</v>
      </c>
      <c r="K235" s="43">
        <v>657</v>
      </c>
      <c r="L235" s="44">
        <f t="shared" si="7"/>
        <v>0.93150684931506844</v>
      </c>
    </row>
    <row r="236" spans="1:12" x14ac:dyDescent="0.3">
      <c r="A236" s="18">
        <v>235</v>
      </c>
      <c r="B236" s="25" t="s">
        <v>56</v>
      </c>
      <c r="C236" s="18">
        <v>7</v>
      </c>
      <c r="D236" s="25" t="s">
        <v>49</v>
      </c>
      <c r="E236" s="25" t="s">
        <v>76</v>
      </c>
      <c r="F236" s="25" t="s">
        <v>51</v>
      </c>
      <c r="G236" s="25" t="s">
        <v>70</v>
      </c>
      <c r="H236" s="40">
        <v>8.5</v>
      </c>
      <c r="I236" s="25">
        <v>114</v>
      </c>
      <c r="J236" s="40">
        <f t="shared" si="6"/>
        <v>969</v>
      </c>
      <c r="K236" s="40">
        <v>888</v>
      </c>
      <c r="L236" s="27">
        <f t="shared" si="7"/>
        <v>1.0912162162162162</v>
      </c>
    </row>
    <row r="237" spans="1:12" x14ac:dyDescent="0.3">
      <c r="A237" s="41">
        <v>236</v>
      </c>
      <c r="B237" s="42" t="s">
        <v>56</v>
      </c>
      <c r="C237" s="41">
        <v>7</v>
      </c>
      <c r="D237" s="42" t="s">
        <v>49</v>
      </c>
      <c r="E237" s="42" t="s">
        <v>76</v>
      </c>
      <c r="F237" s="42" t="s">
        <v>43</v>
      </c>
      <c r="G237" s="42" t="s">
        <v>71</v>
      </c>
      <c r="H237" s="43">
        <v>22</v>
      </c>
      <c r="I237" s="42">
        <v>84</v>
      </c>
      <c r="J237" s="43">
        <f t="shared" si="6"/>
        <v>1848</v>
      </c>
      <c r="K237" s="43">
        <v>1914</v>
      </c>
      <c r="L237" s="44">
        <f t="shared" si="7"/>
        <v>0.96551724137931039</v>
      </c>
    </row>
    <row r="238" spans="1:12" x14ac:dyDescent="0.3">
      <c r="A238" s="18">
        <v>237</v>
      </c>
      <c r="B238" s="25" t="s">
        <v>56</v>
      </c>
      <c r="C238" s="18">
        <v>7</v>
      </c>
      <c r="D238" s="25" t="s">
        <v>49</v>
      </c>
      <c r="E238" s="25" t="s">
        <v>76</v>
      </c>
      <c r="F238" s="25" t="s">
        <v>39</v>
      </c>
      <c r="G238" s="25" t="s">
        <v>72</v>
      </c>
      <c r="H238" s="40">
        <v>35</v>
      </c>
      <c r="I238" s="25">
        <v>56</v>
      </c>
      <c r="J238" s="40">
        <f t="shared" si="6"/>
        <v>1960</v>
      </c>
      <c r="K238" s="40">
        <v>1865</v>
      </c>
      <c r="L238" s="27">
        <f t="shared" si="7"/>
        <v>1.0509383378016086</v>
      </c>
    </row>
    <row r="239" spans="1:12" x14ac:dyDescent="0.3">
      <c r="A239" s="41">
        <v>238</v>
      </c>
      <c r="B239" s="42" t="s">
        <v>56</v>
      </c>
      <c r="C239" s="41">
        <v>7</v>
      </c>
      <c r="D239" s="42" t="s">
        <v>49</v>
      </c>
      <c r="E239" s="42" t="s">
        <v>76</v>
      </c>
      <c r="F239" s="42" t="s">
        <v>47</v>
      </c>
      <c r="G239" s="42" t="s">
        <v>70</v>
      </c>
      <c r="H239" s="43">
        <v>15</v>
      </c>
      <c r="I239" s="42">
        <v>70</v>
      </c>
      <c r="J239" s="43">
        <f t="shared" si="6"/>
        <v>1050</v>
      </c>
      <c r="K239" s="43">
        <v>1183</v>
      </c>
      <c r="L239" s="44">
        <f t="shared" si="7"/>
        <v>0.8875739644970414</v>
      </c>
    </row>
    <row r="240" spans="1:12" x14ac:dyDescent="0.3">
      <c r="A240" s="18">
        <v>239</v>
      </c>
      <c r="B240" s="25" t="s">
        <v>56</v>
      </c>
      <c r="C240" s="18">
        <v>7</v>
      </c>
      <c r="D240" s="25" t="s">
        <v>49</v>
      </c>
      <c r="E240" s="25" t="s">
        <v>76</v>
      </c>
      <c r="F240" s="25" t="s">
        <v>35</v>
      </c>
      <c r="G240" s="25" t="s">
        <v>71</v>
      </c>
      <c r="H240" s="40">
        <v>48</v>
      </c>
      <c r="I240" s="25">
        <v>95</v>
      </c>
      <c r="J240" s="40">
        <f t="shared" si="6"/>
        <v>4560</v>
      </c>
      <c r="K240" s="40">
        <v>4897</v>
      </c>
      <c r="L240" s="27">
        <f t="shared" si="7"/>
        <v>0.9311823565448234</v>
      </c>
    </row>
    <row r="241" spans="1:12" x14ac:dyDescent="0.3">
      <c r="A241" s="41">
        <v>240</v>
      </c>
      <c r="B241" s="42" t="s">
        <v>56</v>
      </c>
      <c r="C241" s="41">
        <v>7</v>
      </c>
      <c r="D241" s="42" t="s">
        <v>49</v>
      </c>
      <c r="E241" s="42" t="s">
        <v>76</v>
      </c>
      <c r="F241" s="42" t="s">
        <v>55</v>
      </c>
      <c r="G241" s="42" t="s">
        <v>73</v>
      </c>
      <c r="H241" s="43">
        <v>12</v>
      </c>
      <c r="I241" s="42">
        <v>55</v>
      </c>
      <c r="J241" s="43">
        <f t="shared" si="6"/>
        <v>660</v>
      </c>
      <c r="K241" s="43">
        <v>720</v>
      </c>
      <c r="L241" s="44">
        <f t="shared" si="7"/>
        <v>0.91666666666666663</v>
      </c>
    </row>
    <row r="242" spans="1:12" x14ac:dyDescent="0.3">
      <c r="A242" s="18">
        <v>241</v>
      </c>
      <c r="B242" s="25" t="s">
        <v>56</v>
      </c>
      <c r="C242" s="18">
        <v>7</v>
      </c>
      <c r="D242" s="25" t="s">
        <v>53</v>
      </c>
      <c r="E242" s="25" t="s">
        <v>77</v>
      </c>
      <c r="F242" s="25" t="s">
        <v>51</v>
      </c>
      <c r="G242" s="25" t="s">
        <v>70</v>
      </c>
      <c r="H242" s="40">
        <v>8.5</v>
      </c>
      <c r="I242" s="25">
        <v>92</v>
      </c>
      <c r="J242" s="40">
        <f t="shared" si="6"/>
        <v>782</v>
      </c>
      <c r="K242" s="40">
        <v>705</v>
      </c>
      <c r="L242" s="27">
        <f t="shared" si="7"/>
        <v>1.1092198581560284</v>
      </c>
    </row>
    <row r="243" spans="1:12" x14ac:dyDescent="0.3">
      <c r="A243" s="41">
        <v>242</v>
      </c>
      <c r="B243" s="42" t="s">
        <v>56</v>
      </c>
      <c r="C243" s="41">
        <v>7</v>
      </c>
      <c r="D243" s="42" t="s">
        <v>53</v>
      </c>
      <c r="E243" s="42" t="s">
        <v>77</v>
      </c>
      <c r="F243" s="42" t="s">
        <v>43</v>
      </c>
      <c r="G243" s="42" t="s">
        <v>71</v>
      </c>
      <c r="H243" s="43">
        <v>22</v>
      </c>
      <c r="I243" s="42">
        <v>73</v>
      </c>
      <c r="J243" s="43">
        <f t="shared" si="6"/>
        <v>1606</v>
      </c>
      <c r="K243" s="43">
        <v>1748</v>
      </c>
      <c r="L243" s="44">
        <f t="shared" si="7"/>
        <v>0.91876430205949655</v>
      </c>
    </row>
    <row r="244" spans="1:12" x14ac:dyDescent="0.3">
      <c r="A244" s="18">
        <v>243</v>
      </c>
      <c r="B244" s="25" t="s">
        <v>56</v>
      </c>
      <c r="C244" s="18">
        <v>7</v>
      </c>
      <c r="D244" s="25" t="s">
        <v>53</v>
      </c>
      <c r="E244" s="25" t="s">
        <v>77</v>
      </c>
      <c r="F244" s="25" t="s">
        <v>39</v>
      </c>
      <c r="G244" s="25" t="s">
        <v>72</v>
      </c>
      <c r="H244" s="40">
        <v>35</v>
      </c>
      <c r="I244" s="25">
        <v>56</v>
      </c>
      <c r="J244" s="40">
        <f t="shared" si="6"/>
        <v>1960</v>
      </c>
      <c r="K244" s="40">
        <v>2231</v>
      </c>
      <c r="L244" s="27">
        <f t="shared" si="7"/>
        <v>0.8785298072613178</v>
      </c>
    </row>
    <row r="245" spans="1:12" x14ac:dyDescent="0.3">
      <c r="A245" s="41">
        <v>244</v>
      </c>
      <c r="B245" s="42" t="s">
        <v>56</v>
      </c>
      <c r="C245" s="41">
        <v>7</v>
      </c>
      <c r="D245" s="42" t="s">
        <v>53</v>
      </c>
      <c r="E245" s="42" t="s">
        <v>77</v>
      </c>
      <c r="F245" s="42" t="s">
        <v>47</v>
      </c>
      <c r="G245" s="42" t="s">
        <v>70</v>
      </c>
      <c r="H245" s="43">
        <v>15</v>
      </c>
      <c r="I245" s="42">
        <v>62</v>
      </c>
      <c r="J245" s="43">
        <f t="shared" si="6"/>
        <v>930</v>
      </c>
      <c r="K245" s="43">
        <v>1011</v>
      </c>
      <c r="L245" s="44">
        <f t="shared" si="7"/>
        <v>0.91988130563798221</v>
      </c>
    </row>
    <row r="246" spans="1:12" x14ac:dyDescent="0.3">
      <c r="A246" s="18">
        <v>245</v>
      </c>
      <c r="B246" s="25" t="s">
        <v>56</v>
      </c>
      <c r="C246" s="18">
        <v>7</v>
      </c>
      <c r="D246" s="25" t="s">
        <v>53</v>
      </c>
      <c r="E246" s="25" t="s">
        <v>77</v>
      </c>
      <c r="F246" s="25" t="s">
        <v>35</v>
      </c>
      <c r="G246" s="25" t="s">
        <v>71</v>
      </c>
      <c r="H246" s="40">
        <v>48</v>
      </c>
      <c r="I246" s="25">
        <v>84</v>
      </c>
      <c r="J246" s="40">
        <f t="shared" si="6"/>
        <v>4032</v>
      </c>
      <c r="K246" s="40">
        <v>4237</v>
      </c>
      <c r="L246" s="27">
        <f t="shared" si="7"/>
        <v>0.95161670993627567</v>
      </c>
    </row>
    <row r="247" spans="1:12" x14ac:dyDescent="0.3">
      <c r="A247" s="41">
        <v>246</v>
      </c>
      <c r="B247" s="42" t="s">
        <v>56</v>
      </c>
      <c r="C247" s="41">
        <v>7</v>
      </c>
      <c r="D247" s="42" t="s">
        <v>53</v>
      </c>
      <c r="E247" s="42" t="s">
        <v>77</v>
      </c>
      <c r="F247" s="42" t="s">
        <v>55</v>
      </c>
      <c r="G247" s="42" t="s">
        <v>73</v>
      </c>
      <c r="H247" s="43">
        <v>12</v>
      </c>
      <c r="I247" s="42">
        <v>41</v>
      </c>
      <c r="J247" s="43">
        <f t="shared" si="6"/>
        <v>492</v>
      </c>
      <c r="K247" s="43">
        <v>470</v>
      </c>
      <c r="L247" s="44">
        <f t="shared" si="7"/>
        <v>1.0468085106382978</v>
      </c>
    </row>
    <row r="248" spans="1:12" x14ac:dyDescent="0.3">
      <c r="A248" s="18">
        <v>247</v>
      </c>
      <c r="B248" s="25" t="s">
        <v>56</v>
      </c>
      <c r="C248" s="18">
        <v>7</v>
      </c>
      <c r="D248" s="25" t="s">
        <v>45</v>
      </c>
      <c r="E248" s="25" t="s">
        <v>78</v>
      </c>
      <c r="F248" s="25" t="s">
        <v>51</v>
      </c>
      <c r="G248" s="25" t="s">
        <v>70</v>
      </c>
      <c r="H248" s="40">
        <v>8.5</v>
      </c>
      <c r="I248" s="25">
        <v>111</v>
      </c>
      <c r="J248" s="40">
        <f t="shared" si="6"/>
        <v>943.5</v>
      </c>
      <c r="K248" s="40">
        <v>856</v>
      </c>
      <c r="L248" s="27">
        <f t="shared" si="7"/>
        <v>1.1022196261682242</v>
      </c>
    </row>
    <row r="249" spans="1:12" x14ac:dyDescent="0.3">
      <c r="A249" s="41">
        <v>248</v>
      </c>
      <c r="B249" s="42" t="s">
        <v>56</v>
      </c>
      <c r="C249" s="41">
        <v>7</v>
      </c>
      <c r="D249" s="42" t="s">
        <v>45</v>
      </c>
      <c r="E249" s="42" t="s">
        <v>78</v>
      </c>
      <c r="F249" s="42" t="s">
        <v>43</v>
      </c>
      <c r="G249" s="42" t="s">
        <v>71</v>
      </c>
      <c r="H249" s="43">
        <v>22</v>
      </c>
      <c r="I249" s="42">
        <v>86</v>
      </c>
      <c r="J249" s="43">
        <f t="shared" si="6"/>
        <v>1892</v>
      </c>
      <c r="K249" s="43">
        <v>2024</v>
      </c>
      <c r="L249" s="44">
        <f t="shared" si="7"/>
        <v>0.93478260869565222</v>
      </c>
    </row>
    <row r="250" spans="1:12" x14ac:dyDescent="0.3">
      <c r="A250" s="18">
        <v>249</v>
      </c>
      <c r="B250" s="25" t="s">
        <v>56</v>
      </c>
      <c r="C250" s="18">
        <v>7</v>
      </c>
      <c r="D250" s="25" t="s">
        <v>45</v>
      </c>
      <c r="E250" s="25" t="s">
        <v>78</v>
      </c>
      <c r="F250" s="25" t="s">
        <v>39</v>
      </c>
      <c r="G250" s="25" t="s">
        <v>72</v>
      </c>
      <c r="H250" s="40">
        <v>35</v>
      </c>
      <c r="I250" s="25">
        <v>59</v>
      </c>
      <c r="J250" s="40">
        <f t="shared" si="6"/>
        <v>2065</v>
      </c>
      <c r="K250" s="40">
        <v>1944</v>
      </c>
      <c r="L250" s="27">
        <f t="shared" si="7"/>
        <v>1.0622427983539096</v>
      </c>
    </row>
    <row r="251" spans="1:12" x14ac:dyDescent="0.3">
      <c r="A251" s="41">
        <v>250</v>
      </c>
      <c r="B251" s="42" t="s">
        <v>56</v>
      </c>
      <c r="C251" s="41">
        <v>7</v>
      </c>
      <c r="D251" s="42" t="s">
        <v>45</v>
      </c>
      <c r="E251" s="42" t="s">
        <v>78</v>
      </c>
      <c r="F251" s="42" t="s">
        <v>47</v>
      </c>
      <c r="G251" s="42" t="s">
        <v>70</v>
      </c>
      <c r="H251" s="43">
        <v>15</v>
      </c>
      <c r="I251" s="42">
        <v>75</v>
      </c>
      <c r="J251" s="43">
        <f t="shared" si="6"/>
        <v>1125</v>
      </c>
      <c r="K251" s="43">
        <v>1048</v>
      </c>
      <c r="L251" s="44">
        <f t="shared" si="7"/>
        <v>1.0734732824427482</v>
      </c>
    </row>
    <row r="252" spans="1:12" x14ac:dyDescent="0.3">
      <c r="A252" s="18">
        <v>251</v>
      </c>
      <c r="B252" s="25" t="s">
        <v>56</v>
      </c>
      <c r="C252" s="18">
        <v>7</v>
      </c>
      <c r="D252" s="25" t="s">
        <v>45</v>
      </c>
      <c r="E252" s="25" t="s">
        <v>78</v>
      </c>
      <c r="F252" s="25" t="s">
        <v>35</v>
      </c>
      <c r="G252" s="25" t="s">
        <v>71</v>
      </c>
      <c r="H252" s="40">
        <v>48</v>
      </c>
      <c r="I252" s="25">
        <v>102</v>
      </c>
      <c r="J252" s="40">
        <f t="shared" si="6"/>
        <v>4896</v>
      </c>
      <c r="K252" s="40">
        <v>4439</v>
      </c>
      <c r="L252" s="27">
        <f t="shared" si="7"/>
        <v>1.1029511151160172</v>
      </c>
    </row>
    <row r="253" spans="1:12" x14ac:dyDescent="0.3">
      <c r="A253" s="41">
        <v>252</v>
      </c>
      <c r="B253" s="42" t="s">
        <v>56</v>
      </c>
      <c r="C253" s="41">
        <v>7</v>
      </c>
      <c r="D253" s="42" t="s">
        <v>45</v>
      </c>
      <c r="E253" s="42" t="s">
        <v>78</v>
      </c>
      <c r="F253" s="42" t="s">
        <v>55</v>
      </c>
      <c r="G253" s="42" t="s">
        <v>73</v>
      </c>
      <c r="H253" s="43">
        <v>12</v>
      </c>
      <c r="I253" s="42">
        <v>51</v>
      </c>
      <c r="J253" s="43">
        <f t="shared" si="6"/>
        <v>612</v>
      </c>
      <c r="K253" s="43">
        <v>637</v>
      </c>
      <c r="L253" s="44">
        <f t="shared" si="7"/>
        <v>0.96075353218210358</v>
      </c>
    </row>
    <row r="254" spans="1:12" x14ac:dyDescent="0.3">
      <c r="A254" s="18">
        <v>253</v>
      </c>
      <c r="B254" s="25" t="s">
        <v>57</v>
      </c>
      <c r="C254" s="18">
        <v>8</v>
      </c>
      <c r="D254" s="25" t="s">
        <v>19</v>
      </c>
      <c r="E254" s="25" t="s">
        <v>69</v>
      </c>
      <c r="F254" s="25" t="s">
        <v>51</v>
      </c>
      <c r="G254" s="25" t="s">
        <v>70</v>
      </c>
      <c r="H254" s="40">
        <v>8.5</v>
      </c>
      <c r="I254" s="25">
        <v>173</v>
      </c>
      <c r="J254" s="40">
        <f t="shared" si="6"/>
        <v>1470.5</v>
      </c>
      <c r="K254" s="40">
        <v>1560</v>
      </c>
      <c r="L254" s="27">
        <f t="shared" si="7"/>
        <v>0.94262820512820511</v>
      </c>
    </row>
    <row r="255" spans="1:12" x14ac:dyDescent="0.3">
      <c r="A255" s="41">
        <v>254</v>
      </c>
      <c r="B255" s="42" t="s">
        <v>57</v>
      </c>
      <c r="C255" s="41">
        <v>8</v>
      </c>
      <c r="D255" s="42" t="s">
        <v>19</v>
      </c>
      <c r="E255" s="42" t="s">
        <v>69</v>
      </c>
      <c r="F255" s="42" t="s">
        <v>43</v>
      </c>
      <c r="G255" s="42" t="s">
        <v>71</v>
      </c>
      <c r="H255" s="43">
        <v>22</v>
      </c>
      <c r="I255" s="42">
        <v>144</v>
      </c>
      <c r="J255" s="43">
        <f t="shared" si="6"/>
        <v>3168</v>
      </c>
      <c r="K255" s="43">
        <v>3217</v>
      </c>
      <c r="L255" s="44">
        <f t="shared" si="7"/>
        <v>0.98476841778054092</v>
      </c>
    </row>
    <row r="256" spans="1:12" x14ac:dyDescent="0.3">
      <c r="A256" s="18">
        <v>255</v>
      </c>
      <c r="B256" s="25" t="s">
        <v>57</v>
      </c>
      <c r="C256" s="18">
        <v>8</v>
      </c>
      <c r="D256" s="25" t="s">
        <v>19</v>
      </c>
      <c r="E256" s="25" t="s">
        <v>69</v>
      </c>
      <c r="F256" s="25" t="s">
        <v>39</v>
      </c>
      <c r="G256" s="25" t="s">
        <v>72</v>
      </c>
      <c r="H256" s="40">
        <v>35</v>
      </c>
      <c r="I256" s="25">
        <v>93</v>
      </c>
      <c r="J256" s="40">
        <f t="shared" si="6"/>
        <v>3255</v>
      </c>
      <c r="K256" s="40">
        <v>3238</v>
      </c>
      <c r="L256" s="27">
        <f t="shared" si="7"/>
        <v>1.0052501544163064</v>
      </c>
    </row>
    <row r="257" spans="1:12" x14ac:dyDescent="0.3">
      <c r="A257" s="41">
        <v>256</v>
      </c>
      <c r="B257" s="42" t="s">
        <v>57</v>
      </c>
      <c r="C257" s="41">
        <v>8</v>
      </c>
      <c r="D257" s="42" t="s">
        <v>19</v>
      </c>
      <c r="E257" s="42" t="s">
        <v>69</v>
      </c>
      <c r="F257" s="42" t="s">
        <v>47</v>
      </c>
      <c r="G257" s="42" t="s">
        <v>70</v>
      </c>
      <c r="H257" s="43">
        <v>15</v>
      </c>
      <c r="I257" s="42">
        <v>123</v>
      </c>
      <c r="J257" s="43">
        <f t="shared" si="6"/>
        <v>1845</v>
      </c>
      <c r="K257" s="43">
        <v>1811</v>
      </c>
      <c r="L257" s="44">
        <f t="shared" si="7"/>
        <v>1.018774157923799</v>
      </c>
    </row>
    <row r="258" spans="1:12" x14ac:dyDescent="0.3">
      <c r="A258" s="18">
        <v>257</v>
      </c>
      <c r="B258" s="25" t="s">
        <v>57</v>
      </c>
      <c r="C258" s="18">
        <v>8</v>
      </c>
      <c r="D258" s="25" t="s">
        <v>19</v>
      </c>
      <c r="E258" s="25" t="s">
        <v>69</v>
      </c>
      <c r="F258" s="25" t="s">
        <v>35</v>
      </c>
      <c r="G258" s="25" t="s">
        <v>71</v>
      </c>
      <c r="H258" s="40">
        <v>48</v>
      </c>
      <c r="I258" s="25">
        <v>189</v>
      </c>
      <c r="J258" s="40">
        <f t="shared" ref="J258:J321" si="8">H258*I258</f>
        <v>9072</v>
      </c>
      <c r="K258" s="40">
        <v>9025</v>
      </c>
      <c r="L258" s="27">
        <f t="shared" ref="L258:L321" si="9">J258/K258</f>
        <v>1.0052077562326869</v>
      </c>
    </row>
    <row r="259" spans="1:12" x14ac:dyDescent="0.3">
      <c r="A259" s="41">
        <v>258</v>
      </c>
      <c r="B259" s="42" t="s">
        <v>57</v>
      </c>
      <c r="C259" s="41">
        <v>8</v>
      </c>
      <c r="D259" s="42" t="s">
        <v>19</v>
      </c>
      <c r="E259" s="42" t="s">
        <v>69</v>
      </c>
      <c r="F259" s="42" t="s">
        <v>55</v>
      </c>
      <c r="G259" s="42" t="s">
        <v>73</v>
      </c>
      <c r="H259" s="43">
        <v>12</v>
      </c>
      <c r="I259" s="42">
        <v>101</v>
      </c>
      <c r="J259" s="43">
        <f t="shared" si="8"/>
        <v>1212</v>
      </c>
      <c r="K259" s="43">
        <v>1343</v>
      </c>
      <c r="L259" s="44">
        <f t="shared" si="9"/>
        <v>0.90245718540580788</v>
      </c>
    </row>
    <row r="260" spans="1:12" x14ac:dyDescent="0.3">
      <c r="A260" s="18">
        <v>259</v>
      </c>
      <c r="B260" s="25" t="s">
        <v>57</v>
      </c>
      <c r="C260" s="18">
        <v>8</v>
      </c>
      <c r="D260" s="25" t="s">
        <v>37</v>
      </c>
      <c r="E260" s="25" t="s">
        <v>74</v>
      </c>
      <c r="F260" s="25" t="s">
        <v>51</v>
      </c>
      <c r="G260" s="25" t="s">
        <v>70</v>
      </c>
      <c r="H260" s="40">
        <v>8.5</v>
      </c>
      <c r="I260" s="25">
        <v>124</v>
      </c>
      <c r="J260" s="40">
        <f t="shared" si="8"/>
        <v>1054</v>
      </c>
      <c r="K260" s="40">
        <v>970</v>
      </c>
      <c r="L260" s="27">
        <f t="shared" si="9"/>
        <v>1.0865979381443298</v>
      </c>
    </row>
    <row r="261" spans="1:12" x14ac:dyDescent="0.3">
      <c r="A261" s="41">
        <v>260</v>
      </c>
      <c r="B261" s="42" t="s">
        <v>57</v>
      </c>
      <c r="C261" s="41">
        <v>8</v>
      </c>
      <c r="D261" s="42" t="s">
        <v>37</v>
      </c>
      <c r="E261" s="42" t="s">
        <v>74</v>
      </c>
      <c r="F261" s="42" t="s">
        <v>43</v>
      </c>
      <c r="G261" s="42" t="s">
        <v>71</v>
      </c>
      <c r="H261" s="43">
        <v>22</v>
      </c>
      <c r="I261" s="42">
        <v>92</v>
      </c>
      <c r="J261" s="43">
        <f t="shared" si="8"/>
        <v>2024</v>
      </c>
      <c r="K261" s="43">
        <v>2095</v>
      </c>
      <c r="L261" s="44">
        <f t="shared" si="9"/>
        <v>0.96610978520286395</v>
      </c>
    </row>
    <row r="262" spans="1:12" x14ac:dyDescent="0.3">
      <c r="A262" s="18">
        <v>261</v>
      </c>
      <c r="B262" s="25" t="s">
        <v>57</v>
      </c>
      <c r="C262" s="18">
        <v>8</v>
      </c>
      <c r="D262" s="25" t="s">
        <v>37</v>
      </c>
      <c r="E262" s="25" t="s">
        <v>74</v>
      </c>
      <c r="F262" s="25" t="s">
        <v>39</v>
      </c>
      <c r="G262" s="25" t="s">
        <v>72</v>
      </c>
      <c r="H262" s="40">
        <v>35</v>
      </c>
      <c r="I262" s="25">
        <v>82</v>
      </c>
      <c r="J262" s="40">
        <f t="shared" si="8"/>
        <v>2870</v>
      </c>
      <c r="K262" s="40">
        <v>2834</v>
      </c>
      <c r="L262" s="27">
        <f t="shared" si="9"/>
        <v>1.0127028934368383</v>
      </c>
    </row>
    <row r="263" spans="1:12" x14ac:dyDescent="0.3">
      <c r="A263" s="41">
        <v>262</v>
      </c>
      <c r="B263" s="42" t="s">
        <v>57</v>
      </c>
      <c r="C263" s="41">
        <v>8</v>
      </c>
      <c r="D263" s="42" t="s">
        <v>37</v>
      </c>
      <c r="E263" s="42" t="s">
        <v>74</v>
      </c>
      <c r="F263" s="42" t="s">
        <v>47</v>
      </c>
      <c r="G263" s="42" t="s">
        <v>70</v>
      </c>
      <c r="H263" s="43">
        <v>15</v>
      </c>
      <c r="I263" s="42">
        <v>94</v>
      </c>
      <c r="J263" s="43">
        <f t="shared" si="8"/>
        <v>1410</v>
      </c>
      <c r="K263" s="43">
        <v>1544</v>
      </c>
      <c r="L263" s="44">
        <f t="shared" si="9"/>
        <v>0.91321243523316065</v>
      </c>
    </row>
    <row r="264" spans="1:12" x14ac:dyDescent="0.3">
      <c r="A264" s="18">
        <v>263</v>
      </c>
      <c r="B264" s="25" t="s">
        <v>57</v>
      </c>
      <c r="C264" s="18">
        <v>8</v>
      </c>
      <c r="D264" s="25" t="s">
        <v>37</v>
      </c>
      <c r="E264" s="25" t="s">
        <v>74</v>
      </c>
      <c r="F264" s="25" t="s">
        <v>35</v>
      </c>
      <c r="G264" s="25" t="s">
        <v>71</v>
      </c>
      <c r="H264" s="40">
        <v>48</v>
      </c>
      <c r="I264" s="25">
        <v>122</v>
      </c>
      <c r="J264" s="40">
        <f t="shared" si="8"/>
        <v>5856</v>
      </c>
      <c r="K264" s="40">
        <v>6375</v>
      </c>
      <c r="L264" s="27">
        <f t="shared" si="9"/>
        <v>0.91858823529411759</v>
      </c>
    </row>
    <row r="265" spans="1:12" x14ac:dyDescent="0.3">
      <c r="A265" s="41">
        <v>264</v>
      </c>
      <c r="B265" s="42" t="s">
        <v>57</v>
      </c>
      <c r="C265" s="41">
        <v>8</v>
      </c>
      <c r="D265" s="42" t="s">
        <v>37</v>
      </c>
      <c r="E265" s="42" t="s">
        <v>74</v>
      </c>
      <c r="F265" s="42" t="s">
        <v>55</v>
      </c>
      <c r="G265" s="42" t="s">
        <v>73</v>
      </c>
      <c r="H265" s="43">
        <v>12</v>
      </c>
      <c r="I265" s="42">
        <v>71</v>
      </c>
      <c r="J265" s="43">
        <f t="shared" si="8"/>
        <v>852</v>
      </c>
      <c r="K265" s="43">
        <v>809</v>
      </c>
      <c r="L265" s="44">
        <f t="shared" si="9"/>
        <v>1.0531520395550062</v>
      </c>
    </row>
    <row r="266" spans="1:12" x14ac:dyDescent="0.3">
      <c r="A266" s="18">
        <v>265</v>
      </c>
      <c r="B266" s="25" t="s">
        <v>57</v>
      </c>
      <c r="C266" s="18">
        <v>8</v>
      </c>
      <c r="D266" s="25" t="s">
        <v>41</v>
      </c>
      <c r="E266" s="25" t="s">
        <v>75</v>
      </c>
      <c r="F266" s="25" t="s">
        <v>51</v>
      </c>
      <c r="G266" s="25" t="s">
        <v>70</v>
      </c>
      <c r="H266" s="40">
        <v>8.5</v>
      </c>
      <c r="I266" s="25">
        <v>96</v>
      </c>
      <c r="J266" s="40">
        <f t="shared" si="8"/>
        <v>816</v>
      </c>
      <c r="K266" s="40">
        <v>765</v>
      </c>
      <c r="L266" s="27">
        <f t="shared" si="9"/>
        <v>1.0666666666666667</v>
      </c>
    </row>
    <row r="267" spans="1:12" x14ac:dyDescent="0.3">
      <c r="A267" s="41">
        <v>266</v>
      </c>
      <c r="B267" s="42" t="s">
        <v>57</v>
      </c>
      <c r="C267" s="41">
        <v>8</v>
      </c>
      <c r="D267" s="42" t="s">
        <v>41</v>
      </c>
      <c r="E267" s="42" t="s">
        <v>75</v>
      </c>
      <c r="F267" s="42" t="s">
        <v>43</v>
      </c>
      <c r="G267" s="42" t="s">
        <v>71</v>
      </c>
      <c r="H267" s="43">
        <v>22</v>
      </c>
      <c r="I267" s="42">
        <v>79</v>
      </c>
      <c r="J267" s="43">
        <f t="shared" si="8"/>
        <v>1738</v>
      </c>
      <c r="K267" s="43">
        <v>1855</v>
      </c>
      <c r="L267" s="44">
        <f t="shared" si="9"/>
        <v>0.93692722371967652</v>
      </c>
    </row>
    <row r="268" spans="1:12" x14ac:dyDescent="0.3">
      <c r="A268" s="18">
        <v>267</v>
      </c>
      <c r="B268" s="25" t="s">
        <v>57</v>
      </c>
      <c r="C268" s="18">
        <v>8</v>
      </c>
      <c r="D268" s="25" t="s">
        <v>41</v>
      </c>
      <c r="E268" s="25" t="s">
        <v>75</v>
      </c>
      <c r="F268" s="25" t="s">
        <v>39</v>
      </c>
      <c r="G268" s="25" t="s">
        <v>72</v>
      </c>
      <c r="H268" s="40">
        <v>35</v>
      </c>
      <c r="I268" s="25">
        <v>61</v>
      </c>
      <c r="J268" s="40">
        <f t="shared" si="8"/>
        <v>2135</v>
      </c>
      <c r="K268" s="40">
        <v>2038</v>
      </c>
      <c r="L268" s="27">
        <f t="shared" si="9"/>
        <v>1.0475956820412169</v>
      </c>
    </row>
    <row r="269" spans="1:12" x14ac:dyDescent="0.3">
      <c r="A269" s="41">
        <v>268</v>
      </c>
      <c r="B269" s="42" t="s">
        <v>57</v>
      </c>
      <c r="C269" s="41">
        <v>8</v>
      </c>
      <c r="D269" s="42" t="s">
        <v>41</v>
      </c>
      <c r="E269" s="42" t="s">
        <v>75</v>
      </c>
      <c r="F269" s="42" t="s">
        <v>47</v>
      </c>
      <c r="G269" s="42" t="s">
        <v>70</v>
      </c>
      <c r="H269" s="43">
        <v>15</v>
      </c>
      <c r="I269" s="42">
        <v>79</v>
      </c>
      <c r="J269" s="43">
        <f t="shared" si="8"/>
        <v>1185</v>
      </c>
      <c r="K269" s="43">
        <v>1294</v>
      </c>
      <c r="L269" s="44">
        <f t="shared" si="9"/>
        <v>0.91576506955177739</v>
      </c>
    </row>
    <row r="270" spans="1:12" x14ac:dyDescent="0.3">
      <c r="A270" s="18">
        <v>269</v>
      </c>
      <c r="B270" s="25" t="s">
        <v>57</v>
      </c>
      <c r="C270" s="18">
        <v>8</v>
      </c>
      <c r="D270" s="25" t="s">
        <v>41</v>
      </c>
      <c r="E270" s="25" t="s">
        <v>75</v>
      </c>
      <c r="F270" s="25" t="s">
        <v>35</v>
      </c>
      <c r="G270" s="25" t="s">
        <v>71</v>
      </c>
      <c r="H270" s="40">
        <v>48</v>
      </c>
      <c r="I270" s="25">
        <v>87</v>
      </c>
      <c r="J270" s="40">
        <f t="shared" si="8"/>
        <v>4176</v>
      </c>
      <c r="K270" s="40">
        <v>4392</v>
      </c>
      <c r="L270" s="27">
        <f t="shared" si="9"/>
        <v>0.95081967213114749</v>
      </c>
    </row>
    <row r="271" spans="1:12" x14ac:dyDescent="0.3">
      <c r="A271" s="41">
        <v>270</v>
      </c>
      <c r="B271" s="42" t="s">
        <v>57</v>
      </c>
      <c r="C271" s="41">
        <v>8</v>
      </c>
      <c r="D271" s="42" t="s">
        <v>41</v>
      </c>
      <c r="E271" s="42" t="s">
        <v>75</v>
      </c>
      <c r="F271" s="42" t="s">
        <v>55</v>
      </c>
      <c r="G271" s="42" t="s">
        <v>73</v>
      </c>
      <c r="H271" s="43">
        <v>12</v>
      </c>
      <c r="I271" s="42">
        <v>56</v>
      </c>
      <c r="J271" s="43">
        <f t="shared" si="8"/>
        <v>672</v>
      </c>
      <c r="K271" s="43">
        <v>624</v>
      </c>
      <c r="L271" s="44">
        <f t="shared" si="9"/>
        <v>1.0769230769230769</v>
      </c>
    </row>
    <row r="272" spans="1:12" x14ac:dyDescent="0.3">
      <c r="A272" s="18">
        <v>271</v>
      </c>
      <c r="B272" s="25" t="s">
        <v>57</v>
      </c>
      <c r="C272" s="18">
        <v>8</v>
      </c>
      <c r="D272" s="25" t="s">
        <v>49</v>
      </c>
      <c r="E272" s="25" t="s">
        <v>76</v>
      </c>
      <c r="F272" s="25" t="s">
        <v>51</v>
      </c>
      <c r="G272" s="25" t="s">
        <v>70</v>
      </c>
      <c r="H272" s="40">
        <v>8.5</v>
      </c>
      <c r="I272" s="25">
        <v>110</v>
      </c>
      <c r="J272" s="40">
        <f t="shared" si="8"/>
        <v>935</v>
      </c>
      <c r="K272" s="40">
        <v>1067</v>
      </c>
      <c r="L272" s="27">
        <f t="shared" si="9"/>
        <v>0.87628865979381443</v>
      </c>
    </row>
    <row r="273" spans="1:12" x14ac:dyDescent="0.3">
      <c r="A273" s="41">
        <v>272</v>
      </c>
      <c r="B273" s="42" t="s">
        <v>57</v>
      </c>
      <c r="C273" s="41">
        <v>8</v>
      </c>
      <c r="D273" s="42" t="s">
        <v>49</v>
      </c>
      <c r="E273" s="42" t="s">
        <v>76</v>
      </c>
      <c r="F273" s="42" t="s">
        <v>43</v>
      </c>
      <c r="G273" s="42" t="s">
        <v>71</v>
      </c>
      <c r="H273" s="43">
        <v>22</v>
      </c>
      <c r="I273" s="42">
        <v>71</v>
      </c>
      <c r="J273" s="43">
        <f t="shared" si="8"/>
        <v>1562</v>
      </c>
      <c r="K273" s="43">
        <v>1416</v>
      </c>
      <c r="L273" s="44">
        <f t="shared" si="9"/>
        <v>1.1031073446327684</v>
      </c>
    </row>
    <row r="274" spans="1:12" x14ac:dyDescent="0.3">
      <c r="A274" s="18">
        <v>273</v>
      </c>
      <c r="B274" s="25" t="s">
        <v>57</v>
      </c>
      <c r="C274" s="18">
        <v>8</v>
      </c>
      <c r="D274" s="25" t="s">
        <v>49</v>
      </c>
      <c r="E274" s="25" t="s">
        <v>76</v>
      </c>
      <c r="F274" s="25" t="s">
        <v>39</v>
      </c>
      <c r="G274" s="25" t="s">
        <v>72</v>
      </c>
      <c r="H274" s="40">
        <v>35</v>
      </c>
      <c r="I274" s="25">
        <v>50</v>
      </c>
      <c r="J274" s="40">
        <f t="shared" si="8"/>
        <v>1750</v>
      </c>
      <c r="K274" s="40">
        <v>1871</v>
      </c>
      <c r="L274" s="27">
        <f t="shared" si="9"/>
        <v>0.93532870122928913</v>
      </c>
    </row>
    <row r="275" spans="1:12" x14ac:dyDescent="0.3">
      <c r="A275" s="41">
        <v>274</v>
      </c>
      <c r="B275" s="42" t="s">
        <v>57</v>
      </c>
      <c r="C275" s="41">
        <v>8</v>
      </c>
      <c r="D275" s="42" t="s">
        <v>49</v>
      </c>
      <c r="E275" s="42" t="s">
        <v>76</v>
      </c>
      <c r="F275" s="42" t="s">
        <v>47</v>
      </c>
      <c r="G275" s="42" t="s">
        <v>70</v>
      </c>
      <c r="H275" s="43">
        <v>15</v>
      </c>
      <c r="I275" s="42">
        <v>76</v>
      </c>
      <c r="J275" s="43">
        <f t="shared" si="8"/>
        <v>1140</v>
      </c>
      <c r="K275" s="43">
        <v>1139</v>
      </c>
      <c r="L275" s="44">
        <f t="shared" si="9"/>
        <v>1.0008779631255487</v>
      </c>
    </row>
    <row r="276" spans="1:12" x14ac:dyDescent="0.3">
      <c r="A276" s="18">
        <v>275</v>
      </c>
      <c r="B276" s="25" t="s">
        <v>57</v>
      </c>
      <c r="C276" s="18">
        <v>8</v>
      </c>
      <c r="D276" s="25" t="s">
        <v>49</v>
      </c>
      <c r="E276" s="25" t="s">
        <v>76</v>
      </c>
      <c r="F276" s="25" t="s">
        <v>35</v>
      </c>
      <c r="G276" s="25" t="s">
        <v>71</v>
      </c>
      <c r="H276" s="40">
        <v>48</v>
      </c>
      <c r="I276" s="25">
        <v>93</v>
      </c>
      <c r="J276" s="40">
        <f t="shared" si="8"/>
        <v>4464</v>
      </c>
      <c r="K276" s="40">
        <v>4102</v>
      </c>
      <c r="L276" s="27">
        <f t="shared" si="9"/>
        <v>1.0882496343247197</v>
      </c>
    </row>
    <row r="277" spans="1:12" x14ac:dyDescent="0.3">
      <c r="A277" s="41">
        <v>276</v>
      </c>
      <c r="B277" s="42" t="s">
        <v>57</v>
      </c>
      <c r="C277" s="41">
        <v>8</v>
      </c>
      <c r="D277" s="42" t="s">
        <v>49</v>
      </c>
      <c r="E277" s="42" t="s">
        <v>76</v>
      </c>
      <c r="F277" s="42" t="s">
        <v>55</v>
      </c>
      <c r="G277" s="42" t="s">
        <v>73</v>
      </c>
      <c r="H277" s="43">
        <v>12</v>
      </c>
      <c r="I277" s="42">
        <v>49</v>
      </c>
      <c r="J277" s="43">
        <f t="shared" si="8"/>
        <v>588</v>
      </c>
      <c r="K277" s="43">
        <v>621</v>
      </c>
      <c r="L277" s="44">
        <f t="shared" si="9"/>
        <v>0.9468599033816425</v>
      </c>
    </row>
    <row r="278" spans="1:12" x14ac:dyDescent="0.3">
      <c r="A278" s="18">
        <v>277</v>
      </c>
      <c r="B278" s="25" t="s">
        <v>57</v>
      </c>
      <c r="C278" s="18">
        <v>8</v>
      </c>
      <c r="D278" s="25" t="s">
        <v>53</v>
      </c>
      <c r="E278" s="25" t="s">
        <v>77</v>
      </c>
      <c r="F278" s="25" t="s">
        <v>51</v>
      </c>
      <c r="G278" s="25" t="s">
        <v>70</v>
      </c>
      <c r="H278" s="40">
        <v>8.5</v>
      </c>
      <c r="I278" s="25">
        <v>79</v>
      </c>
      <c r="J278" s="40">
        <f t="shared" si="8"/>
        <v>671.5</v>
      </c>
      <c r="K278" s="40">
        <v>734</v>
      </c>
      <c r="L278" s="27">
        <f t="shared" si="9"/>
        <v>0.91485013623978206</v>
      </c>
    </row>
    <row r="279" spans="1:12" x14ac:dyDescent="0.3">
      <c r="A279" s="41">
        <v>278</v>
      </c>
      <c r="B279" s="42" t="s">
        <v>57</v>
      </c>
      <c r="C279" s="41">
        <v>8</v>
      </c>
      <c r="D279" s="42" t="s">
        <v>53</v>
      </c>
      <c r="E279" s="42" t="s">
        <v>77</v>
      </c>
      <c r="F279" s="42" t="s">
        <v>43</v>
      </c>
      <c r="G279" s="42" t="s">
        <v>71</v>
      </c>
      <c r="H279" s="43">
        <v>22</v>
      </c>
      <c r="I279" s="42">
        <v>79</v>
      </c>
      <c r="J279" s="43">
        <f t="shared" si="8"/>
        <v>1738</v>
      </c>
      <c r="K279" s="43">
        <v>1825</v>
      </c>
      <c r="L279" s="44">
        <f t="shared" si="9"/>
        <v>0.95232876712328762</v>
      </c>
    </row>
    <row r="280" spans="1:12" x14ac:dyDescent="0.3">
      <c r="A280" s="18">
        <v>279</v>
      </c>
      <c r="B280" s="25" t="s">
        <v>57</v>
      </c>
      <c r="C280" s="18">
        <v>8</v>
      </c>
      <c r="D280" s="25" t="s">
        <v>53</v>
      </c>
      <c r="E280" s="25" t="s">
        <v>77</v>
      </c>
      <c r="F280" s="25" t="s">
        <v>39</v>
      </c>
      <c r="G280" s="25" t="s">
        <v>72</v>
      </c>
      <c r="H280" s="40">
        <v>35</v>
      </c>
      <c r="I280" s="25">
        <v>42</v>
      </c>
      <c r="J280" s="40">
        <f t="shared" si="8"/>
        <v>1470</v>
      </c>
      <c r="K280" s="40">
        <v>1685</v>
      </c>
      <c r="L280" s="27">
        <f t="shared" si="9"/>
        <v>0.87240356083086057</v>
      </c>
    </row>
    <row r="281" spans="1:12" x14ac:dyDescent="0.3">
      <c r="A281" s="41">
        <v>280</v>
      </c>
      <c r="B281" s="42" t="s">
        <v>57</v>
      </c>
      <c r="C281" s="41">
        <v>8</v>
      </c>
      <c r="D281" s="42" t="s">
        <v>53</v>
      </c>
      <c r="E281" s="42" t="s">
        <v>77</v>
      </c>
      <c r="F281" s="42" t="s">
        <v>47</v>
      </c>
      <c r="G281" s="42" t="s">
        <v>70</v>
      </c>
      <c r="H281" s="43">
        <v>15</v>
      </c>
      <c r="I281" s="42">
        <v>65</v>
      </c>
      <c r="J281" s="43">
        <f t="shared" si="8"/>
        <v>975</v>
      </c>
      <c r="K281" s="43">
        <v>962</v>
      </c>
      <c r="L281" s="44">
        <f t="shared" si="9"/>
        <v>1.0135135135135136</v>
      </c>
    </row>
    <row r="282" spans="1:12" x14ac:dyDescent="0.3">
      <c r="A282" s="18">
        <v>281</v>
      </c>
      <c r="B282" s="25" t="s">
        <v>57</v>
      </c>
      <c r="C282" s="18">
        <v>8</v>
      </c>
      <c r="D282" s="25" t="s">
        <v>53</v>
      </c>
      <c r="E282" s="25" t="s">
        <v>77</v>
      </c>
      <c r="F282" s="25" t="s">
        <v>35</v>
      </c>
      <c r="G282" s="25" t="s">
        <v>71</v>
      </c>
      <c r="H282" s="40">
        <v>48</v>
      </c>
      <c r="I282" s="25">
        <v>76</v>
      </c>
      <c r="J282" s="40">
        <f t="shared" si="8"/>
        <v>3648</v>
      </c>
      <c r="K282" s="40">
        <v>3621</v>
      </c>
      <c r="L282" s="27">
        <f t="shared" si="9"/>
        <v>1.0074565037282519</v>
      </c>
    </row>
    <row r="283" spans="1:12" x14ac:dyDescent="0.3">
      <c r="A283" s="41">
        <v>282</v>
      </c>
      <c r="B283" s="42" t="s">
        <v>57</v>
      </c>
      <c r="C283" s="41">
        <v>8</v>
      </c>
      <c r="D283" s="42" t="s">
        <v>53</v>
      </c>
      <c r="E283" s="42" t="s">
        <v>77</v>
      </c>
      <c r="F283" s="42" t="s">
        <v>55</v>
      </c>
      <c r="G283" s="42" t="s">
        <v>73</v>
      </c>
      <c r="H283" s="43">
        <v>12</v>
      </c>
      <c r="I283" s="42">
        <v>42</v>
      </c>
      <c r="J283" s="43">
        <f t="shared" si="8"/>
        <v>504</v>
      </c>
      <c r="K283" s="43">
        <v>497</v>
      </c>
      <c r="L283" s="44">
        <f t="shared" si="9"/>
        <v>1.0140845070422535</v>
      </c>
    </row>
    <row r="284" spans="1:12" x14ac:dyDescent="0.3">
      <c r="A284" s="18">
        <v>283</v>
      </c>
      <c r="B284" s="25" t="s">
        <v>57</v>
      </c>
      <c r="C284" s="18">
        <v>8</v>
      </c>
      <c r="D284" s="25" t="s">
        <v>45</v>
      </c>
      <c r="E284" s="25" t="s">
        <v>78</v>
      </c>
      <c r="F284" s="25" t="s">
        <v>51</v>
      </c>
      <c r="G284" s="25" t="s">
        <v>70</v>
      </c>
      <c r="H284" s="40">
        <v>8.5</v>
      </c>
      <c r="I284" s="25">
        <v>118</v>
      </c>
      <c r="J284" s="40">
        <f t="shared" si="8"/>
        <v>1003</v>
      </c>
      <c r="K284" s="40">
        <v>1109</v>
      </c>
      <c r="L284" s="27">
        <f t="shared" si="9"/>
        <v>0.90441839495040577</v>
      </c>
    </row>
    <row r="285" spans="1:12" x14ac:dyDescent="0.3">
      <c r="A285" s="41">
        <v>284</v>
      </c>
      <c r="B285" s="42" t="s">
        <v>57</v>
      </c>
      <c r="C285" s="41">
        <v>8</v>
      </c>
      <c r="D285" s="42" t="s">
        <v>45</v>
      </c>
      <c r="E285" s="42" t="s">
        <v>78</v>
      </c>
      <c r="F285" s="42" t="s">
        <v>43</v>
      </c>
      <c r="G285" s="42" t="s">
        <v>71</v>
      </c>
      <c r="H285" s="43">
        <v>22</v>
      </c>
      <c r="I285" s="42">
        <v>75</v>
      </c>
      <c r="J285" s="43">
        <f t="shared" si="8"/>
        <v>1650</v>
      </c>
      <c r="K285" s="43">
        <v>1881</v>
      </c>
      <c r="L285" s="44">
        <f t="shared" si="9"/>
        <v>0.8771929824561403</v>
      </c>
    </row>
    <row r="286" spans="1:12" x14ac:dyDescent="0.3">
      <c r="A286" s="18">
        <v>285</v>
      </c>
      <c r="B286" s="25" t="s">
        <v>57</v>
      </c>
      <c r="C286" s="18">
        <v>8</v>
      </c>
      <c r="D286" s="25" t="s">
        <v>45</v>
      </c>
      <c r="E286" s="25" t="s">
        <v>78</v>
      </c>
      <c r="F286" s="25" t="s">
        <v>39</v>
      </c>
      <c r="G286" s="25" t="s">
        <v>72</v>
      </c>
      <c r="H286" s="40">
        <v>35</v>
      </c>
      <c r="I286" s="25">
        <v>59</v>
      </c>
      <c r="J286" s="40">
        <f t="shared" si="8"/>
        <v>2065</v>
      </c>
      <c r="K286" s="40">
        <v>2286</v>
      </c>
      <c r="L286" s="27">
        <f t="shared" si="9"/>
        <v>0.90332458442694663</v>
      </c>
    </row>
    <row r="287" spans="1:12" x14ac:dyDescent="0.3">
      <c r="A287" s="41">
        <v>286</v>
      </c>
      <c r="B287" s="42" t="s">
        <v>57</v>
      </c>
      <c r="C287" s="41">
        <v>8</v>
      </c>
      <c r="D287" s="42" t="s">
        <v>45</v>
      </c>
      <c r="E287" s="42" t="s">
        <v>78</v>
      </c>
      <c r="F287" s="42" t="s">
        <v>47</v>
      </c>
      <c r="G287" s="42" t="s">
        <v>70</v>
      </c>
      <c r="H287" s="43">
        <v>15</v>
      </c>
      <c r="I287" s="42">
        <v>75</v>
      </c>
      <c r="J287" s="43">
        <f t="shared" si="8"/>
        <v>1125</v>
      </c>
      <c r="K287" s="43">
        <v>1135</v>
      </c>
      <c r="L287" s="44">
        <f t="shared" si="9"/>
        <v>0.99118942731277537</v>
      </c>
    </row>
    <row r="288" spans="1:12" x14ac:dyDescent="0.3">
      <c r="A288" s="18">
        <v>287</v>
      </c>
      <c r="B288" s="25" t="s">
        <v>57</v>
      </c>
      <c r="C288" s="18">
        <v>8</v>
      </c>
      <c r="D288" s="25" t="s">
        <v>45</v>
      </c>
      <c r="E288" s="25" t="s">
        <v>78</v>
      </c>
      <c r="F288" s="25" t="s">
        <v>35</v>
      </c>
      <c r="G288" s="25" t="s">
        <v>71</v>
      </c>
      <c r="H288" s="40">
        <v>48</v>
      </c>
      <c r="I288" s="25">
        <v>99</v>
      </c>
      <c r="J288" s="40">
        <f t="shared" si="8"/>
        <v>4752</v>
      </c>
      <c r="K288" s="40">
        <v>5424</v>
      </c>
      <c r="L288" s="27">
        <f t="shared" si="9"/>
        <v>0.87610619469026552</v>
      </c>
    </row>
    <row r="289" spans="1:12" x14ac:dyDescent="0.3">
      <c r="A289" s="41">
        <v>288</v>
      </c>
      <c r="B289" s="42" t="s">
        <v>57</v>
      </c>
      <c r="C289" s="41">
        <v>8</v>
      </c>
      <c r="D289" s="42" t="s">
        <v>45</v>
      </c>
      <c r="E289" s="42" t="s">
        <v>78</v>
      </c>
      <c r="F289" s="42" t="s">
        <v>55</v>
      </c>
      <c r="G289" s="42" t="s">
        <v>73</v>
      </c>
      <c r="H289" s="43">
        <v>12</v>
      </c>
      <c r="I289" s="42">
        <v>46</v>
      </c>
      <c r="J289" s="43">
        <f t="shared" si="8"/>
        <v>552</v>
      </c>
      <c r="K289" s="43">
        <v>608</v>
      </c>
      <c r="L289" s="44">
        <f t="shared" si="9"/>
        <v>0.90789473684210531</v>
      </c>
    </row>
    <row r="290" spans="1:12" x14ac:dyDescent="0.3">
      <c r="A290" s="18">
        <v>289</v>
      </c>
      <c r="B290" s="25" t="s">
        <v>58</v>
      </c>
      <c r="C290" s="18">
        <v>9</v>
      </c>
      <c r="D290" s="25" t="s">
        <v>19</v>
      </c>
      <c r="E290" s="25" t="s">
        <v>69</v>
      </c>
      <c r="F290" s="25" t="s">
        <v>51</v>
      </c>
      <c r="G290" s="25" t="s">
        <v>70</v>
      </c>
      <c r="H290" s="40">
        <v>8.5</v>
      </c>
      <c r="I290" s="25">
        <v>273</v>
      </c>
      <c r="J290" s="40">
        <f t="shared" si="8"/>
        <v>2320.5</v>
      </c>
      <c r="K290" s="40">
        <v>2369</v>
      </c>
      <c r="L290" s="27">
        <f t="shared" si="9"/>
        <v>0.97952722667792314</v>
      </c>
    </row>
    <row r="291" spans="1:12" x14ac:dyDescent="0.3">
      <c r="A291" s="41">
        <v>290</v>
      </c>
      <c r="B291" s="42" t="s">
        <v>58</v>
      </c>
      <c r="C291" s="41">
        <v>9</v>
      </c>
      <c r="D291" s="42" t="s">
        <v>19</v>
      </c>
      <c r="E291" s="42" t="s">
        <v>69</v>
      </c>
      <c r="F291" s="42" t="s">
        <v>43</v>
      </c>
      <c r="G291" s="42" t="s">
        <v>71</v>
      </c>
      <c r="H291" s="43">
        <v>22</v>
      </c>
      <c r="I291" s="42">
        <v>211</v>
      </c>
      <c r="J291" s="43">
        <f t="shared" si="8"/>
        <v>4642</v>
      </c>
      <c r="K291" s="43">
        <v>5026</v>
      </c>
      <c r="L291" s="44">
        <f t="shared" si="9"/>
        <v>0.92359729407083169</v>
      </c>
    </row>
    <row r="292" spans="1:12" x14ac:dyDescent="0.3">
      <c r="A292" s="18">
        <v>291</v>
      </c>
      <c r="B292" s="25" t="s">
        <v>58</v>
      </c>
      <c r="C292" s="18">
        <v>9</v>
      </c>
      <c r="D292" s="25" t="s">
        <v>19</v>
      </c>
      <c r="E292" s="25" t="s">
        <v>69</v>
      </c>
      <c r="F292" s="25" t="s">
        <v>39</v>
      </c>
      <c r="G292" s="25" t="s">
        <v>72</v>
      </c>
      <c r="H292" s="40">
        <v>35</v>
      </c>
      <c r="I292" s="25">
        <v>133</v>
      </c>
      <c r="J292" s="40">
        <f t="shared" si="8"/>
        <v>4655</v>
      </c>
      <c r="K292" s="40">
        <v>5181</v>
      </c>
      <c r="L292" s="27">
        <f t="shared" si="9"/>
        <v>0.89847519783825514</v>
      </c>
    </row>
    <row r="293" spans="1:12" x14ac:dyDescent="0.3">
      <c r="A293" s="41">
        <v>292</v>
      </c>
      <c r="B293" s="42" t="s">
        <v>58</v>
      </c>
      <c r="C293" s="41">
        <v>9</v>
      </c>
      <c r="D293" s="42" t="s">
        <v>19</v>
      </c>
      <c r="E293" s="42" t="s">
        <v>69</v>
      </c>
      <c r="F293" s="42" t="s">
        <v>47</v>
      </c>
      <c r="G293" s="42" t="s">
        <v>70</v>
      </c>
      <c r="H293" s="43">
        <v>15</v>
      </c>
      <c r="I293" s="42">
        <v>197</v>
      </c>
      <c r="J293" s="43">
        <f t="shared" si="8"/>
        <v>2955</v>
      </c>
      <c r="K293" s="43">
        <v>2724</v>
      </c>
      <c r="L293" s="44">
        <f t="shared" si="9"/>
        <v>1.0848017621145374</v>
      </c>
    </row>
    <row r="294" spans="1:12" x14ac:dyDescent="0.3">
      <c r="A294" s="18">
        <v>293</v>
      </c>
      <c r="B294" s="25" t="s">
        <v>58</v>
      </c>
      <c r="C294" s="18">
        <v>9</v>
      </c>
      <c r="D294" s="25" t="s">
        <v>19</v>
      </c>
      <c r="E294" s="25" t="s">
        <v>69</v>
      </c>
      <c r="F294" s="25" t="s">
        <v>35</v>
      </c>
      <c r="G294" s="25" t="s">
        <v>71</v>
      </c>
      <c r="H294" s="40">
        <v>48</v>
      </c>
      <c r="I294" s="25">
        <v>260</v>
      </c>
      <c r="J294" s="40">
        <f t="shared" si="8"/>
        <v>12480</v>
      </c>
      <c r="K294" s="40">
        <v>11993</v>
      </c>
      <c r="L294" s="27">
        <f t="shared" si="9"/>
        <v>1.0406070207621112</v>
      </c>
    </row>
    <row r="295" spans="1:12" x14ac:dyDescent="0.3">
      <c r="A295" s="41">
        <v>294</v>
      </c>
      <c r="B295" s="42" t="s">
        <v>58</v>
      </c>
      <c r="C295" s="41">
        <v>9</v>
      </c>
      <c r="D295" s="42" t="s">
        <v>19</v>
      </c>
      <c r="E295" s="42" t="s">
        <v>69</v>
      </c>
      <c r="F295" s="42" t="s">
        <v>55</v>
      </c>
      <c r="G295" s="42" t="s">
        <v>73</v>
      </c>
      <c r="H295" s="43">
        <v>12</v>
      </c>
      <c r="I295" s="42">
        <v>124</v>
      </c>
      <c r="J295" s="43">
        <f t="shared" si="8"/>
        <v>1488</v>
      </c>
      <c r="K295" s="43">
        <v>1566</v>
      </c>
      <c r="L295" s="44">
        <f t="shared" si="9"/>
        <v>0.95019157088122608</v>
      </c>
    </row>
    <row r="296" spans="1:12" x14ac:dyDescent="0.3">
      <c r="A296" s="18">
        <v>295</v>
      </c>
      <c r="B296" s="25" t="s">
        <v>58</v>
      </c>
      <c r="C296" s="18">
        <v>9</v>
      </c>
      <c r="D296" s="25" t="s">
        <v>37</v>
      </c>
      <c r="E296" s="25" t="s">
        <v>74</v>
      </c>
      <c r="F296" s="25" t="s">
        <v>51</v>
      </c>
      <c r="G296" s="25" t="s">
        <v>70</v>
      </c>
      <c r="H296" s="40">
        <v>8.5</v>
      </c>
      <c r="I296" s="25">
        <v>173</v>
      </c>
      <c r="J296" s="40">
        <f t="shared" si="8"/>
        <v>1470.5</v>
      </c>
      <c r="K296" s="40">
        <v>1334</v>
      </c>
      <c r="L296" s="27">
        <f t="shared" si="9"/>
        <v>1.1023238380809595</v>
      </c>
    </row>
    <row r="297" spans="1:12" x14ac:dyDescent="0.3">
      <c r="A297" s="41">
        <v>296</v>
      </c>
      <c r="B297" s="42" t="s">
        <v>58</v>
      </c>
      <c r="C297" s="41">
        <v>9</v>
      </c>
      <c r="D297" s="42" t="s">
        <v>37</v>
      </c>
      <c r="E297" s="42" t="s">
        <v>74</v>
      </c>
      <c r="F297" s="42" t="s">
        <v>43</v>
      </c>
      <c r="G297" s="42" t="s">
        <v>71</v>
      </c>
      <c r="H297" s="43">
        <v>22</v>
      </c>
      <c r="I297" s="42">
        <v>159</v>
      </c>
      <c r="J297" s="43">
        <f t="shared" si="8"/>
        <v>3498</v>
      </c>
      <c r="K297" s="43">
        <v>3307</v>
      </c>
      <c r="L297" s="44">
        <f t="shared" si="9"/>
        <v>1.0577562745690958</v>
      </c>
    </row>
    <row r="298" spans="1:12" x14ac:dyDescent="0.3">
      <c r="A298" s="18">
        <v>297</v>
      </c>
      <c r="B298" s="25" t="s">
        <v>58</v>
      </c>
      <c r="C298" s="18">
        <v>9</v>
      </c>
      <c r="D298" s="25" t="s">
        <v>37</v>
      </c>
      <c r="E298" s="25" t="s">
        <v>74</v>
      </c>
      <c r="F298" s="25" t="s">
        <v>39</v>
      </c>
      <c r="G298" s="25" t="s">
        <v>72</v>
      </c>
      <c r="H298" s="40">
        <v>35</v>
      </c>
      <c r="I298" s="25">
        <v>87</v>
      </c>
      <c r="J298" s="40">
        <f t="shared" si="8"/>
        <v>3045</v>
      </c>
      <c r="K298" s="40">
        <v>3348</v>
      </c>
      <c r="L298" s="27">
        <f t="shared" si="9"/>
        <v>0.90949820788530467</v>
      </c>
    </row>
    <row r="299" spans="1:12" x14ac:dyDescent="0.3">
      <c r="A299" s="41">
        <v>298</v>
      </c>
      <c r="B299" s="42" t="s">
        <v>58</v>
      </c>
      <c r="C299" s="41">
        <v>9</v>
      </c>
      <c r="D299" s="42" t="s">
        <v>37</v>
      </c>
      <c r="E299" s="42" t="s">
        <v>74</v>
      </c>
      <c r="F299" s="42" t="s">
        <v>47</v>
      </c>
      <c r="G299" s="42" t="s">
        <v>70</v>
      </c>
      <c r="H299" s="43">
        <v>15</v>
      </c>
      <c r="I299" s="42">
        <v>114</v>
      </c>
      <c r="J299" s="43">
        <f t="shared" si="8"/>
        <v>1710</v>
      </c>
      <c r="K299" s="43">
        <v>1915</v>
      </c>
      <c r="L299" s="44">
        <f t="shared" si="9"/>
        <v>0.89295039164490864</v>
      </c>
    </row>
    <row r="300" spans="1:12" x14ac:dyDescent="0.3">
      <c r="A300" s="18">
        <v>299</v>
      </c>
      <c r="B300" s="25" t="s">
        <v>58</v>
      </c>
      <c r="C300" s="18">
        <v>9</v>
      </c>
      <c r="D300" s="25" t="s">
        <v>37</v>
      </c>
      <c r="E300" s="25" t="s">
        <v>74</v>
      </c>
      <c r="F300" s="25" t="s">
        <v>35</v>
      </c>
      <c r="G300" s="25" t="s">
        <v>71</v>
      </c>
      <c r="H300" s="40">
        <v>48</v>
      </c>
      <c r="I300" s="25">
        <v>165</v>
      </c>
      <c r="J300" s="40">
        <f t="shared" si="8"/>
        <v>7920</v>
      </c>
      <c r="K300" s="40">
        <v>7675</v>
      </c>
      <c r="L300" s="27">
        <f t="shared" si="9"/>
        <v>1.0319218241042345</v>
      </c>
    </row>
    <row r="301" spans="1:12" x14ac:dyDescent="0.3">
      <c r="A301" s="41">
        <v>300</v>
      </c>
      <c r="B301" s="42" t="s">
        <v>58</v>
      </c>
      <c r="C301" s="41">
        <v>9</v>
      </c>
      <c r="D301" s="42" t="s">
        <v>37</v>
      </c>
      <c r="E301" s="42" t="s">
        <v>74</v>
      </c>
      <c r="F301" s="42" t="s">
        <v>55</v>
      </c>
      <c r="G301" s="42" t="s">
        <v>73</v>
      </c>
      <c r="H301" s="43">
        <v>12</v>
      </c>
      <c r="I301" s="42">
        <v>71</v>
      </c>
      <c r="J301" s="43">
        <f t="shared" si="8"/>
        <v>852</v>
      </c>
      <c r="K301" s="43">
        <v>969</v>
      </c>
      <c r="L301" s="44">
        <f t="shared" si="9"/>
        <v>0.87925696594427249</v>
      </c>
    </row>
    <row r="302" spans="1:12" x14ac:dyDescent="0.3">
      <c r="A302" s="18">
        <v>301</v>
      </c>
      <c r="B302" s="25" t="s">
        <v>58</v>
      </c>
      <c r="C302" s="18">
        <v>9</v>
      </c>
      <c r="D302" s="25" t="s">
        <v>41</v>
      </c>
      <c r="E302" s="25" t="s">
        <v>75</v>
      </c>
      <c r="F302" s="25" t="s">
        <v>51</v>
      </c>
      <c r="G302" s="25" t="s">
        <v>70</v>
      </c>
      <c r="H302" s="40">
        <v>8.5</v>
      </c>
      <c r="I302" s="25">
        <v>131</v>
      </c>
      <c r="J302" s="40">
        <f t="shared" si="8"/>
        <v>1113.5</v>
      </c>
      <c r="K302" s="40">
        <v>1203</v>
      </c>
      <c r="L302" s="27">
        <f t="shared" si="9"/>
        <v>0.92560266001662506</v>
      </c>
    </row>
    <row r="303" spans="1:12" x14ac:dyDescent="0.3">
      <c r="A303" s="41">
        <v>302</v>
      </c>
      <c r="B303" s="42" t="s">
        <v>58</v>
      </c>
      <c r="C303" s="41">
        <v>9</v>
      </c>
      <c r="D303" s="42" t="s">
        <v>41</v>
      </c>
      <c r="E303" s="42" t="s">
        <v>75</v>
      </c>
      <c r="F303" s="42" t="s">
        <v>43</v>
      </c>
      <c r="G303" s="42" t="s">
        <v>71</v>
      </c>
      <c r="H303" s="43">
        <v>22</v>
      </c>
      <c r="I303" s="42">
        <v>119</v>
      </c>
      <c r="J303" s="43">
        <f t="shared" si="8"/>
        <v>2618</v>
      </c>
      <c r="K303" s="43">
        <v>2852</v>
      </c>
      <c r="L303" s="44">
        <f t="shared" si="9"/>
        <v>0.91795231416549794</v>
      </c>
    </row>
    <row r="304" spans="1:12" x14ac:dyDescent="0.3">
      <c r="A304" s="18">
        <v>303</v>
      </c>
      <c r="B304" s="25" t="s">
        <v>58</v>
      </c>
      <c r="C304" s="18">
        <v>9</v>
      </c>
      <c r="D304" s="25" t="s">
        <v>41</v>
      </c>
      <c r="E304" s="25" t="s">
        <v>75</v>
      </c>
      <c r="F304" s="25" t="s">
        <v>39</v>
      </c>
      <c r="G304" s="25" t="s">
        <v>72</v>
      </c>
      <c r="H304" s="40">
        <v>35</v>
      </c>
      <c r="I304" s="25">
        <v>84</v>
      </c>
      <c r="J304" s="40">
        <f t="shared" si="8"/>
        <v>2940</v>
      </c>
      <c r="K304" s="40">
        <v>3121</v>
      </c>
      <c r="L304" s="27">
        <f t="shared" si="9"/>
        <v>0.94200576738224928</v>
      </c>
    </row>
    <row r="305" spans="1:12" x14ac:dyDescent="0.3">
      <c r="A305" s="41">
        <v>304</v>
      </c>
      <c r="B305" s="42" t="s">
        <v>58</v>
      </c>
      <c r="C305" s="41">
        <v>9</v>
      </c>
      <c r="D305" s="42" t="s">
        <v>41</v>
      </c>
      <c r="E305" s="42" t="s">
        <v>75</v>
      </c>
      <c r="F305" s="42" t="s">
        <v>47</v>
      </c>
      <c r="G305" s="42" t="s">
        <v>70</v>
      </c>
      <c r="H305" s="43">
        <v>15</v>
      </c>
      <c r="I305" s="42">
        <v>99</v>
      </c>
      <c r="J305" s="43">
        <f t="shared" si="8"/>
        <v>1485</v>
      </c>
      <c r="K305" s="43">
        <v>1631</v>
      </c>
      <c r="L305" s="44">
        <f t="shared" si="9"/>
        <v>0.91048436541998778</v>
      </c>
    </row>
    <row r="306" spans="1:12" x14ac:dyDescent="0.3">
      <c r="A306" s="18">
        <v>305</v>
      </c>
      <c r="B306" s="25" t="s">
        <v>58</v>
      </c>
      <c r="C306" s="18">
        <v>9</v>
      </c>
      <c r="D306" s="25" t="s">
        <v>41</v>
      </c>
      <c r="E306" s="25" t="s">
        <v>75</v>
      </c>
      <c r="F306" s="25" t="s">
        <v>35</v>
      </c>
      <c r="G306" s="25" t="s">
        <v>71</v>
      </c>
      <c r="H306" s="40">
        <v>48</v>
      </c>
      <c r="I306" s="25">
        <v>114</v>
      </c>
      <c r="J306" s="40">
        <f t="shared" si="8"/>
        <v>5472</v>
      </c>
      <c r="K306" s="40">
        <v>5228</v>
      </c>
      <c r="L306" s="27">
        <f t="shared" si="9"/>
        <v>1.046671767406274</v>
      </c>
    </row>
    <row r="307" spans="1:12" x14ac:dyDescent="0.3">
      <c r="A307" s="41">
        <v>306</v>
      </c>
      <c r="B307" s="42" t="s">
        <v>58</v>
      </c>
      <c r="C307" s="41">
        <v>9</v>
      </c>
      <c r="D307" s="42" t="s">
        <v>41</v>
      </c>
      <c r="E307" s="42" t="s">
        <v>75</v>
      </c>
      <c r="F307" s="42" t="s">
        <v>55</v>
      </c>
      <c r="G307" s="42" t="s">
        <v>73</v>
      </c>
      <c r="H307" s="43">
        <v>12</v>
      </c>
      <c r="I307" s="42">
        <v>74</v>
      </c>
      <c r="J307" s="43">
        <f t="shared" si="8"/>
        <v>888</v>
      </c>
      <c r="K307" s="43">
        <v>867</v>
      </c>
      <c r="L307" s="44">
        <f t="shared" si="9"/>
        <v>1.0242214532871972</v>
      </c>
    </row>
    <row r="308" spans="1:12" x14ac:dyDescent="0.3">
      <c r="A308" s="18">
        <v>307</v>
      </c>
      <c r="B308" s="25" t="s">
        <v>58</v>
      </c>
      <c r="C308" s="18">
        <v>9</v>
      </c>
      <c r="D308" s="25" t="s">
        <v>49</v>
      </c>
      <c r="E308" s="25" t="s">
        <v>76</v>
      </c>
      <c r="F308" s="25" t="s">
        <v>51</v>
      </c>
      <c r="G308" s="25" t="s">
        <v>70</v>
      </c>
      <c r="H308" s="40">
        <v>8.5</v>
      </c>
      <c r="I308" s="25">
        <v>138</v>
      </c>
      <c r="J308" s="40">
        <f t="shared" si="8"/>
        <v>1173</v>
      </c>
      <c r="K308" s="40">
        <v>1194</v>
      </c>
      <c r="L308" s="27">
        <f t="shared" si="9"/>
        <v>0.98241206030150752</v>
      </c>
    </row>
    <row r="309" spans="1:12" x14ac:dyDescent="0.3">
      <c r="A309" s="41">
        <v>308</v>
      </c>
      <c r="B309" s="42" t="s">
        <v>58</v>
      </c>
      <c r="C309" s="41">
        <v>9</v>
      </c>
      <c r="D309" s="42" t="s">
        <v>49</v>
      </c>
      <c r="E309" s="42" t="s">
        <v>76</v>
      </c>
      <c r="F309" s="42" t="s">
        <v>43</v>
      </c>
      <c r="G309" s="42" t="s">
        <v>71</v>
      </c>
      <c r="H309" s="43">
        <v>22</v>
      </c>
      <c r="I309" s="42">
        <v>109</v>
      </c>
      <c r="J309" s="43">
        <f t="shared" si="8"/>
        <v>2398</v>
      </c>
      <c r="K309" s="43">
        <v>2413</v>
      </c>
      <c r="L309" s="44">
        <f t="shared" si="9"/>
        <v>0.99378367177786986</v>
      </c>
    </row>
    <row r="310" spans="1:12" x14ac:dyDescent="0.3">
      <c r="A310" s="18">
        <v>309</v>
      </c>
      <c r="B310" s="25" t="s">
        <v>58</v>
      </c>
      <c r="C310" s="18">
        <v>9</v>
      </c>
      <c r="D310" s="25" t="s">
        <v>49</v>
      </c>
      <c r="E310" s="25" t="s">
        <v>76</v>
      </c>
      <c r="F310" s="25" t="s">
        <v>39</v>
      </c>
      <c r="G310" s="25" t="s">
        <v>72</v>
      </c>
      <c r="H310" s="40">
        <v>35</v>
      </c>
      <c r="I310" s="25">
        <v>77</v>
      </c>
      <c r="J310" s="40">
        <f t="shared" si="8"/>
        <v>2695</v>
      </c>
      <c r="K310" s="40">
        <v>2648</v>
      </c>
      <c r="L310" s="27">
        <f t="shared" si="9"/>
        <v>1.017749244712991</v>
      </c>
    </row>
    <row r="311" spans="1:12" x14ac:dyDescent="0.3">
      <c r="A311" s="41">
        <v>310</v>
      </c>
      <c r="B311" s="42" t="s">
        <v>58</v>
      </c>
      <c r="C311" s="41">
        <v>9</v>
      </c>
      <c r="D311" s="42" t="s">
        <v>49</v>
      </c>
      <c r="E311" s="42" t="s">
        <v>76</v>
      </c>
      <c r="F311" s="42" t="s">
        <v>47</v>
      </c>
      <c r="G311" s="42" t="s">
        <v>70</v>
      </c>
      <c r="H311" s="43">
        <v>15</v>
      </c>
      <c r="I311" s="42">
        <v>95</v>
      </c>
      <c r="J311" s="43">
        <f t="shared" si="8"/>
        <v>1425</v>
      </c>
      <c r="K311" s="43">
        <v>1379</v>
      </c>
      <c r="L311" s="44">
        <f t="shared" si="9"/>
        <v>1.0333575054387236</v>
      </c>
    </row>
    <row r="312" spans="1:12" x14ac:dyDescent="0.3">
      <c r="A312" s="18">
        <v>311</v>
      </c>
      <c r="B312" s="25" t="s">
        <v>58</v>
      </c>
      <c r="C312" s="18">
        <v>9</v>
      </c>
      <c r="D312" s="25" t="s">
        <v>49</v>
      </c>
      <c r="E312" s="25" t="s">
        <v>76</v>
      </c>
      <c r="F312" s="25" t="s">
        <v>35</v>
      </c>
      <c r="G312" s="25" t="s">
        <v>71</v>
      </c>
      <c r="H312" s="40">
        <v>48</v>
      </c>
      <c r="I312" s="25">
        <v>108</v>
      </c>
      <c r="J312" s="40">
        <f t="shared" si="8"/>
        <v>5184</v>
      </c>
      <c r="K312" s="40">
        <v>4822</v>
      </c>
      <c r="L312" s="27">
        <f t="shared" si="9"/>
        <v>1.0750725839900457</v>
      </c>
    </row>
    <row r="313" spans="1:12" x14ac:dyDescent="0.3">
      <c r="A313" s="41">
        <v>312</v>
      </c>
      <c r="B313" s="42" t="s">
        <v>58</v>
      </c>
      <c r="C313" s="41">
        <v>9</v>
      </c>
      <c r="D313" s="42" t="s">
        <v>49</v>
      </c>
      <c r="E313" s="42" t="s">
        <v>76</v>
      </c>
      <c r="F313" s="42" t="s">
        <v>55</v>
      </c>
      <c r="G313" s="42" t="s">
        <v>73</v>
      </c>
      <c r="H313" s="43">
        <v>12</v>
      </c>
      <c r="I313" s="42">
        <v>57</v>
      </c>
      <c r="J313" s="43">
        <f t="shared" si="8"/>
        <v>684</v>
      </c>
      <c r="K313" s="43">
        <v>636</v>
      </c>
      <c r="L313" s="44">
        <f t="shared" si="9"/>
        <v>1.0754716981132075</v>
      </c>
    </row>
    <row r="314" spans="1:12" x14ac:dyDescent="0.3">
      <c r="A314" s="18">
        <v>313</v>
      </c>
      <c r="B314" s="25" t="s">
        <v>58</v>
      </c>
      <c r="C314" s="18">
        <v>9</v>
      </c>
      <c r="D314" s="25" t="s">
        <v>53</v>
      </c>
      <c r="E314" s="25" t="s">
        <v>77</v>
      </c>
      <c r="F314" s="25" t="s">
        <v>51</v>
      </c>
      <c r="G314" s="25" t="s">
        <v>70</v>
      </c>
      <c r="H314" s="40">
        <v>8.5</v>
      </c>
      <c r="I314" s="25">
        <v>121</v>
      </c>
      <c r="J314" s="40">
        <f t="shared" si="8"/>
        <v>1028.5</v>
      </c>
      <c r="K314" s="40">
        <v>1122</v>
      </c>
      <c r="L314" s="27">
        <f t="shared" si="9"/>
        <v>0.91666666666666663</v>
      </c>
    </row>
    <row r="315" spans="1:12" x14ac:dyDescent="0.3">
      <c r="A315" s="41">
        <v>314</v>
      </c>
      <c r="B315" s="42" t="s">
        <v>58</v>
      </c>
      <c r="C315" s="41">
        <v>9</v>
      </c>
      <c r="D315" s="42" t="s">
        <v>53</v>
      </c>
      <c r="E315" s="42" t="s">
        <v>77</v>
      </c>
      <c r="F315" s="42" t="s">
        <v>43</v>
      </c>
      <c r="G315" s="42" t="s">
        <v>71</v>
      </c>
      <c r="H315" s="43">
        <v>22</v>
      </c>
      <c r="I315" s="42">
        <v>86</v>
      </c>
      <c r="J315" s="43">
        <f t="shared" si="8"/>
        <v>1892</v>
      </c>
      <c r="K315" s="43">
        <v>1805</v>
      </c>
      <c r="L315" s="44">
        <f t="shared" si="9"/>
        <v>1.0481994459833794</v>
      </c>
    </row>
    <row r="316" spans="1:12" x14ac:dyDescent="0.3">
      <c r="A316" s="18">
        <v>315</v>
      </c>
      <c r="B316" s="25" t="s">
        <v>58</v>
      </c>
      <c r="C316" s="18">
        <v>9</v>
      </c>
      <c r="D316" s="25" t="s">
        <v>53</v>
      </c>
      <c r="E316" s="25" t="s">
        <v>77</v>
      </c>
      <c r="F316" s="25" t="s">
        <v>39</v>
      </c>
      <c r="G316" s="25" t="s">
        <v>72</v>
      </c>
      <c r="H316" s="40">
        <v>35</v>
      </c>
      <c r="I316" s="25">
        <v>63</v>
      </c>
      <c r="J316" s="40">
        <f t="shared" si="8"/>
        <v>2205</v>
      </c>
      <c r="K316" s="40">
        <v>2384</v>
      </c>
      <c r="L316" s="27">
        <f t="shared" si="9"/>
        <v>0.92491610738255037</v>
      </c>
    </row>
    <row r="317" spans="1:12" x14ac:dyDescent="0.3">
      <c r="A317" s="41">
        <v>316</v>
      </c>
      <c r="B317" s="42" t="s">
        <v>58</v>
      </c>
      <c r="C317" s="41">
        <v>9</v>
      </c>
      <c r="D317" s="42" t="s">
        <v>53</v>
      </c>
      <c r="E317" s="42" t="s">
        <v>77</v>
      </c>
      <c r="F317" s="42" t="s">
        <v>47</v>
      </c>
      <c r="G317" s="42" t="s">
        <v>70</v>
      </c>
      <c r="H317" s="43">
        <v>15</v>
      </c>
      <c r="I317" s="42">
        <v>91</v>
      </c>
      <c r="J317" s="43">
        <f t="shared" si="8"/>
        <v>1365</v>
      </c>
      <c r="K317" s="43">
        <v>1408</v>
      </c>
      <c r="L317" s="44">
        <f t="shared" si="9"/>
        <v>0.96946022727272729</v>
      </c>
    </row>
    <row r="318" spans="1:12" x14ac:dyDescent="0.3">
      <c r="A318" s="18">
        <v>317</v>
      </c>
      <c r="B318" s="25" t="s">
        <v>58</v>
      </c>
      <c r="C318" s="18">
        <v>9</v>
      </c>
      <c r="D318" s="25" t="s">
        <v>53</v>
      </c>
      <c r="E318" s="25" t="s">
        <v>77</v>
      </c>
      <c r="F318" s="25" t="s">
        <v>35</v>
      </c>
      <c r="G318" s="25" t="s">
        <v>71</v>
      </c>
      <c r="H318" s="40">
        <v>48</v>
      </c>
      <c r="I318" s="25">
        <v>97</v>
      </c>
      <c r="J318" s="40">
        <f t="shared" si="8"/>
        <v>4656</v>
      </c>
      <c r="K318" s="40">
        <v>4307</v>
      </c>
      <c r="L318" s="27">
        <f t="shared" si="9"/>
        <v>1.0810308799628512</v>
      </c>
    </row>
    <row r="319" spans="1:12" x14ac:dyDescent="0.3">
      <c r="A319" s="41">
        <v>318</v>
      </c>
      <c r="B319" s="42" t="s">
        <v>58</v>
      </c>
      <c r="C319" s="41">
        <v>9</v>
      </c>
      <c r="D319" s="42" t="s">
        <v>53</v>
      </c>
      <c r="E319" s="42" t="s">
        <v>77</v>
      </c>
      <c r="F319" s="42" t="s">
        <v>55</v>
      </c>
      <c r="G319" s="42" t="s">
        <v>73</v>
      </c>
      <c r="H319" s="43">
        <v>12</v>
      </c>
      <c r="I319" s="42">
        <v>50</v>
      </c>
      <c r="J319" s="43">
        <f t="shared" si="8"/>
        <v>600</v>
      </c>
      <c r="K319" s="43">
        <v>574</v>
      </c>
      <c r="L319" s="44">
        <f t="shared" si="9"/>
        <v>1.0452961672473868</v>
      </c>
    </row>
    <row r="320" spans="1:12" x14ac:dyDescent="0.3">
      <c r="A320" s="18">
        <v>319</v>
      </c>
      <c r="B320" s="25" t="s">
        <v>58</v>
      </c>
      <c r="C320" s="18">
        <v>9</v>
      </c>
      <c r="D320" s="25" t="s">
        <v>45</v>
      </c>
      <c r="E320" s="25" t="s">
        <v>78</v>
      </c>
      <c r="F320" s="25" t="s">
        <v>51</v>
      </c>
      <c r="G320" s="25" t="s">
        <v>70</v>
      </c>
      <c r="H320" s="40">
        <v>8.5</v>
      </c>
      <c r="I320" s="25">
        <v>128</v>
      </c>
      <c r="J320" s="40">
        <f t="shared" si="8"/>
        <v>1088</v>
      </c>
      <c r="K320" s="40">
        <v>983</v>
      </c>
      <c r="L320" s="27">
        <f t="shared" si="9"/>
        <v>1.1068158697863684</v>
      </c>
    </row>
    <row r="321" spans="1:12" x14ac:dyDescent="0.3">
      <c r="A321" s="41">
        <v>320</v>
      </c>
      <c r="B321" s="42" t="s">
        <v>58</v>
      </c>
      <c r="C321" s="41">
        <v>9</v>
      </c>
      <c r="D321" s="42" t="s">
        <v>45</v>
      </c>
      <c r="E321" s="42" t="s">
        <v>78</v>
      </c>
      <c r="F321" s="42" t="s">
        <v>43</v>
      </c>
      <c r="G321" s="42" t="s">
        <v>71</v>
      </c>
      <c r="H321" s="43">
        <v>22</v>
      </c>
      <c r="I321" s="42">
        <v>115</v>
      </c>
      <c r="J321" s="43">
        <f t="shared" si="8"/>
        <v>2530</v>
      </c>
      <c r="K321" s="43">
        <v>2451</v>
      </c>
      <c r="L321" s="44">
        <f t="shared" si="9"/>
        <v>1.0322317421460627</v>
      </c>
    </row>
    <row r="322" spans="1:12" x14ac:dyDescent="0.3">
      <c r="A322" s="18">
        <v>321</v>
      </c>
      <c r="B322" s="25" t="s">
        <v>58</v>
      </c>
      <c r="C322" s="18">
        <v>9</v>
      </c>
      <c r="D322" s="25" t="s">
        <v>45</v>
      </c>
      <c r="E322" s="25" t="s">
        <v>78</v>
      </c>
      <c r="F322" s="25" t="s">
        <v>39</v>
      </c>
      <c r="G322" s="25" t="s">
        <v>72</v>
      </c>
      <c r="H322" s="40">
        <v>35</v>
      </c>
      <c r="I322" s="25">
        <v>86</v>
      </c>
      <c r="J322" s="40">
        <f t="shared" ref="J322:J385" si="10">H322*I322</f>
        <v>3010</v>
      </c>
      <c r="K322" s="40">
        <v>3125</v>
      </c>
      <c r="L322" s="27">
        <f t="shared" ref="L322:L385" si="11">J322/K322</f>
        <v>0.96319999999999995</v>
      </c>
    </row>
    <row r="323" spans="1:12" x14ac:dyDescent="0.3">
      <c r="A323" s="41">
        <v>322</v>
      </c>
      <c r="B323" s="42" t="s">
        <v>58</v>
      </c>
      <c r="C323" s="41">
        <v>9</v>
      </c>
      <c r="D323" s="42" t="s">
        <v>45</v>
      </c>
      <c r="E323" s="42" t="s">
        <v>78</v>
      </c>
      <c r="F323" s="42" t="s">
        <v>47</v>
      </c>
      <c r="G323" s="42" t="s">
        <v>70</v>
      </c>
      <c r="H323" s="43">
        <v>15</v>
      </c>
      <c r="I323" s="42">
        <v>100</v>
      </c>
      <c r="J323" s="43">
        <f t="shared" si="10"/>
        <v>1500</v>
      </c>
      <c r="K323" s="43">
        <v>1397</v>
      </c>
      <c r="L323" s="44">
        <f t="shared" si="11"/>
        <v>1.0737294201861132</v>
      </c>
    </row>
    <row r="324" spans="1:12" x14ac:dyDescent="0.3">
      <c r="A324" s="18">
        <v>323</v>
      </c>
      <c r="B324" s="25" t="s">
        <v>58</v>
      </c>
      <c r="C324" s="18">
        <v>9</v>
      </c>
      <c r="D324" s="25" t="s">
        <v>45</v>
      </c>
      <c r="E324" s="25" t="s">
        <v>78</v>
      </c>
      <c r="F324" s="25" t="s">
        <v>35</v>
      </c>
      <c r="G324" s="25" t="s">
        <v>71</v>
      </c>
      <c r="H324" s="40">
        <v>48</v>
      </c>
      <c r="I324" s="25">
        <v>137</v>
      </c>
      <c r="J324" s="40">
        <f t="shared" si="10"/>
        <v>6576</v>
      </c>
      <c r="K324" s="40">
        <v>6725</v>
      </c>
      <c r="L324" s="27">
        <f t="shared" si="11"/>
        <v>0.97784386617100372</v>
      </c>
    </row>
    <row r="325" spans="1:12" x14ac:dyDescent="0.3">
      <c r="A325" s="41">
        <v>324</v>
      </c>
      <c r="B325" s="42" t="s">
        <v>58</v>
      </c>
      <c r="C325" s="41">
        <v>9</v>
      </c>
      <c r="D325" s="42" t="s">
        <v>45</v>
      </c>
      <c r="E325" s="42" t="s">
        <v>78</v>
      </c>
      <c r="F325" s="42" t="s">
        <v>55</v>
      </c>
      <c r="G325" s="42" t="s">
        <v>73</v>
      </c>
      <c r="H325" s="43">
        <v>12</v>
      </c>
      <c r="I325" s="42">
        <v>73</v>
      </c>
      <c r="J325" s="43">
        <f t="shared" si="10"/>
        <v>876</v>
      </c>
      <c r="K325" s="43">
        <v>914</v>
      </c>
      <c r="L325" s="44">
        <f t="shared" si="11"/>
        <v>0.95842450765864329</v>
      </c>
    </row>
    <row r="326" spans="1:12" x14ac:dyDescent="0.3">
      <c r="A326" s="18">
        <v>325</v>
      </c>
      <c r="B326" s="25" t="s">
        <v>59</v>
      </c>
      <c r="C326" s="18">
        <v>10</v>
      </c>
      <c r="D326" s="25" t="s">
        <v>19</v>
      </c>
      <c r="E326" s="25" t="s">
        <v>69</v>
      </c>
      <c r="F326" s="25" t="s">
        <v>51</v>
      </c>
      <c r="G326" s="25" t="s">
        <v>70</v>
      </c>
      <c r="H326" s="40">
        <v>8.5</v>
      </c>
      <c r="I326" s="25">
        <v>294</v>
      </c>
      <c r="J326" s="40">
        <f t="shared" si="10"/>
        <v>2499</v>
      </c>
      <c r="K326" s="40">
        <v>2524</v>
      </c>
      <c r="L326" s="27">
        <f t="shared" si="11"/>
        <v>0.99009508716323291</v>
      </c>
    </row>
    <row r="327" spans="1:12" x14ac:dyDescent="0.3">
      <c r="A327" s="41">
        <v>326</v>
      </c>
      <c r="B327" s="42" t="s">
        <v>59</v>
      </c>
      <c r="C327" s="41">
        <v>10</v>
      </c>
      <c r="D327" s="42" t="s">
        <v>19</v>
      </c>
      <c r="E327" s="42" t="s">
        <v>69</v>
      </c>
      <c r="F327" s="42" t="s">
        <v>43</v>
      </c>
      <c r="G327" s="42" t="s">
        <v>71</v>
      </c>
      <c r="H327" s="43">
        <v>22</v>
      </c>
      <c r="I327" s="42">
        <v>215</v>
      </c>
      <c r="J327" s="43">
        <f t="shared" si="10"/>
        <v>4730</v>
      </c>
      <c r="K327" s="43">
        <v>4318</v>
      </c>
      <c r="L327" s="44">
        <f t="shared" si="11"/>
        <v>1.095414543770264</v>
      </c>
    </row>
    <row r="328" spans="1:12" x14ac:dyDescent="0.3">
      <c r="A328" s="18">
        <v>327</v>
      </c>
      <c r="B328" s="25" t="s">
        <v>59</v>
      </c>
      <c r="C328" s="18">
        <v>10</v>
      </c>
      <c r="D328" s="25" t="s">
        <v>19</v>
      </c>
      <c r="E328" s="25" t="s">
        <v>69</v>
      </c>
      <c r="F328" s="25" t="s">
        <v>39</v>
      </c>
      <c r="G328" s="25" t="s">
        <v>72</v>
      </c>
      <c r="H328" s="40">
        <v>35</v>
      </c>
      <c r="I328" s="25">
        <v>179</v>
      </c>
      <c r="J328" s="40">
        <f t="shared" si="10"/>
        <v>6265</v>
      </c>
      <c r="K328" s="40">
        <v>6387</v>
      </c>
      <c r="L328" s="27">
        <f t="shared" si="11"/>
        <v>0.98089870048536087</v>
      </c>
    </row>
    <row r="329" spans="1:12" x14ac:dyDescent="0.3">
      <c r="A329" s="41">
        <v>328</v>
      </c>
      <c r="B329" s="42" t="s">
        <v>59</v>
      </c>
      <c r="C329" s="41">
        <v>10</v>
      </c>
      <c r="D329" s="42" t="s">
        <v>19</v>
      </c>
      <c r="E329" s="42" t="s">
        <v>69</v>
      </c>
      <c r="F329" s="42" t="s">
        <v>47</v>
      </c>
      <c r="G329" s="42" t="s">
        <v>70</v>
      </c>
      <c r="H329" s="43">
        <v>15</v>
      </c>
      <c r="I329" s="42">
        <v>217</v>
      </c>
      <c r="J329" s="43">
        <f t="shared" si="10"/>
        <v>3255</v>
      </c>
      <c r="K329" s="43">
        <v>3256</v>
      </c>
      <c r="L329" s="44">
        <f t="shared" si="11"/>
        <v>0.99969287469287471</v>
      </c>
    </row>
    <row r="330" spans="1:12" x14ac:dyDescent="0.3">
      <c r="A330" s="18">
        <v>329</v>
      </c>
      <c r="B330" s="25" t="s">
        <v>59</v>
      </c>
      <c r="C330" s="18">
        <v>10</v>
      </c>
      <c r="D330" s="25" t="s">
        <v>19</v>
      </c>
      <c r="E330" s="25" t="s">
        <v>69</v>
      </c>
      <c r="F330" s="25" t="s">
        <v>35</v>
      </c>
      <c r="G330" s="25" t="s">
        <v>71</v>
      </c>
      <c r="H330" s="40">
        <v>48</v>
      </c>
      <c r="I330" s="25">
        <v>224</v>
      </c>
      <c r="J330" s="40">
        <f t="shared" si="10"/>
        <v>10752</v>
      </c>
      <c r="K330" s="40">
        <v>11369</v>
      </c>
      <c r="L330" s="27">
        <f t="shared" si="11"/>
        <v>0.94572961562142666</v>
      </c>
    </row>
    <row r="331" spans="1:12" x14ac:dyDescent="0.3">
      <c r="A331" s="41">
        <v>330</v>
      </c>
      <c r="B331" s="42" t="s">
        <v>59</v>
      </c>
      <c r="C331" s="41">
        <v>10</v>
      </c>
      <c r="D331" s="42" t="s">
        <v>19</v>
      </c>
      <c r="E331" s="42" t="s">
        <v>69</v>
      </c>
      <c r="F331" s="42" t="s">
        <v>55</v>
      </c>
      <c r="G331" s="42" t="s">
        <v>73</v>
      </c>
      <c r="H331" s="43">
        <v>12</v>
      </c>
      <c r="I331" s="42">
        <v>120</v>
      </c>
      <c r="J331" s="43">
        <f t="shared" si="10"/>
        <v>1440</v>
      </c>
      <c r="K331" s="43">
        <v>1350</v>
      </c>
      <c r="L331" s="44">
        <f t="shared" si="11"/>
        <v>1.0666666666666667</v>
      </c>
    </row>
    <row r="332" spans="1:12" x14ac:dyDescent="0.3">
      <c r="A332" s="18">
        <v>331</v>
      </c>
      <c r="B332" s="25" t="s">
        <v>59</v>
      </c>
      <c r="C332" s="18">
        <v>10</v>
      </c>
      <c r="D332" s="25" t="s">
        <v>37</v>
      </c>
      <c r="E332" s="25" t="s">
        <v>74</v>
      </c>
      <c r="F332" s="25" t="s">
        <v>51</v>
      </c>
      <c r="G332" s="25" t="s">
        <v>70</v>
      </c>
      <c r="H332" s="40">
        <v>8.5</v>
      </c>
      <c r="I332" s="25">
        <v>201</v>
      </c>
      <c r="J332" s="40">
        <f t="shared" si="10"/>
        <v>1708.5</v>
      </c>
      <c r="K332" s="40">
        <v>1667</v>
      </c>
      <c r="L332" s="27">
        <f t="shared" si="11"/>
        <v>1.0248950209958008</v>
      </c>
    </row>
    <row r="333" spans="1:12" x14ac:dyDescent="0.3">
      <c r="A333" s="41">
        <v>332</v>
      </c>
      <c r="B333" s="42" t="s">
        <v>59</v>
      </c>
      <c r="C333" s="41">
        <v>10</v>
      </c>
      <c r="D333" s="42" t="s">
        <v>37</v>
      </c>
      <c r="E333" s="42" t="s">
        <v>74</v>
      </c>
      <c r="F333" s="42" t="s">
        <v>43</v>
      </c>
      <c r="G333" s="42" t="s">
        <v>71</v>
      </c>
      <c r="H333" s="43">
        <v>22</v>
      </c>
      <c r="I333" s="42">
        <v>181</v>
      </c>
      <c r="J333" s="43">
        <f t="shared" si="10"/>
        <v>3982</v>
      </c>
      <c r="K333" s="43">
        <v>3702</v>
      </c>
      <c r="L333" s="44">
        <f t="shared" si="11"/>
        <v>1.0756347920043219</v>
      </c>
    </row>
    <row r="334" spans="1:12" x14ac:dyDescent="0.3">
      <c r="A334" s="18">
        <v>333</v>
      </c>
      <c r="B334" s="25" t="s">
        <v>59</v>
      </c>
      <c r="C334" s="18">
        <v>10</v>
      </c>
      <c r="D334" s="25" t="s">
        <v>37</v>
      </c>
      <c r="E334" s="25" t="s">
        <v>74</v>
      </c>
      <c r="F334" s="25" t="s">
        <v>39</v>
      </c>
      <c r="G334" s="25" t="s">
        <v>72</v>
      </c>
      <c r="H334" s="40">
        <v>35</v>
      </c>
      <c r="I334" s="25">
        <v>113</v>
      </c>
      <c r="J334" s="40">
        <f t="shared" si="10"/>
        <v>3955</v>
      </c>
      <c r="K334" s="40">
        <v>4159</v>
      </c>
      <c r="L334" s="27">
        <f t="shared" si="11"/>
        <v>0.95094974753546524</v>
      </c>
    </row>
    <row r="335" spans="1:12" x14ac:dyDescent="0.3">
      <c r="A335" s="41">
        <v>334</v>
      </c>
      <c r="B335" s="42" t="s">
        <v>59</v>
      </c>
      <c r="C335" s="41">
        <v>10</v>
      </c>
      <c r="D335" s="42" t="s">
        <v>37</v>
      </c>
      <c r="E335" s="42" t="s">
        <v>74</v>
      </c>
      <c r="F335" s="42" t="s">
        <v>47</v>
      </c>
      <c r="G335" s="42" t="s">
        <v>70</v>
      </c>
      <c r="H335" s="43">
        <v>15</v>
      </c>
      <c r="I335" s="42">
        <v>143</v>
      </c>
      <c r="J335" s="43">
        <f t="shared" si="10"/>
        <v>2145</v>
      </c>
      <c r="K335" s="43">
        <v>2052</v>
      </c>
      <c r="L335" s="44">
        <f t="shared" si="11"/>
        <v>1.0453216374269005</v>
      </c>
    </row>
    <row r="336" spans="1:12" x14ac:dyDescent="0.3">
      <c r="A336" s="18">
        <v>335</v>
      </c>
      <c r="B336" s="25" t="s">
        <v>59</v>
      </c>
      <c r="C336" s="18">
        <v>10</v>
      </c>
      <c r="D336" s="25" t="s">
        <v>37</v>
      </c>
      <c r="E336" s="25" t="s">
        <v>74</v>
      </c>
      <c r="F336" s="25" t="s">
        <v>35</v>
      </c>
      <c r="G336" s="25" t="s">
        <v>71</v>
      </c>
      <c r="H336" s="40">
        <v>48</v>
      </c>
      <c r="I336" s="25">
        <v>172</v>
      </c>
      <c r="J336" s="40">
        <f t="shared" si="10"/>
        <v>8256</v>
      </c>
      <c r="K336" s="40">
        <v>8360</v>
      </c>
      <c r="L336" s="27">
        <f t="shared" si="11"/>
        <v>0.98755980861244019</v>
      </c>
    </row>
    <row r="337" spans="1:12" x14ac:dyDescent="0.3">
      <c r="A337" s="41">
        <v>336</v>
      </c>
      <c r="B337" s="42" t="s">
        <v>59</v>
      </c>
      <c r="C337" s="41">
        <v>10</v>
      </c>
      <c r="D337" s="42" t="s">
        <v>37</v>
      </c>
      <c r="E337" s="42" t="s">
        <v>74</v>
      </c>
      <c r="F337" s="42" t="s">
        <v>55</v>
      </c>
      <c r="G337" s="42" t="s">
        <v>73</v>
      </c>
      <c r="H337" s="43">
        <v>12</v>
      </c>
      <c r="I337" s="42">
        <v>90</v>
      </c>
      <c r="J337" s="43">
        <f t="shared" si="10"/>
        <v>1080</v>
      </c>
      <c r="K337" s="43">
        <v>1204</v>
      </c>
      <c r="L337" s="44">
        <f t="shared" si="11"/>
        <v>0.89700996677740863</v>
      </c>
    </row>
    <row r="338" spans="1:12" x14ac:dyDescent="0.3">
      <c r="A338" s="18">
        <v>337</v>
      </c>
      <c r="B338" s="25" t="s">
        <v>59</v>
      </c>
      <c r="C338" s="18">
        <v>10</v>
      </c>
      <c r="D338" s="25" t="s">
        <v>41</v>
      </c>
      <c r="E338" s="25" t="s">
        <v>75</v>
      </c>
      <c r="F338" s="25" t="s">
        <v>51</v>
      </c>
      <c r="G338" s="25" t="s">
        <v>70</v>
      </c>
      <c r="H338" s="40">
        <v>8.5</v>
      </c>
      <c r="I338" s="25">
        <v>189</v>
      </c>
      <c r="J338" s="40">
        <f t="shared" si="10"/>
        <v>1606.5</v>
      </c>
      <c r="K338" s="40">
        <v>1568</v>
      </c>
      <c r="L338" s="27">
        <f t="shared" si="11"/>
        <v>1.0245535714285714</v>
      </c>
    </row>
    <row r="339" spans="1:12" x14ac:dyDescent="0.3">
      <c r="A339" s="41">
        <v>338</v>
      </c>
      <c r="B339" s="42" t="s">
        <v>59</v>
      </c>
      <c r="C339" s="41">
        <v>10</v>
      </c>
      <c r="D339" s="42" t="s">
        <v>41</v>
      </c>
      <c r="E339" s="42" t="s">
        <v>75</v>
      </c>
      <c r="F339" s="42" t="s">
        <v>43</v>
      </c>
      <c r="G339" s="42" t="s">
        <v>71</v>
      </c>
      <c r="H339" s="43">
        <v>22</v>
      </c>
      <c r="I339" s="42">
        <v>136</v>
      </c>
      <c r="J339" s="43">
        <f t="shared" si="10"/>
        <v>2992</v>
      </c>
      <c r="K339" s="43">
        <v>3149</v>
      </c>
      <c r="L339" s="44">
        <f t="shared" si="11"/>
        <v>0.9501429025087329</v>
      </c>
    </row>
    <row r="340" spans="1:12" x14ac:dyDescent="0.3">
      <c r="A340" s="18">
        <v>339</v>
      </c>
      <c r="B340" s="25" t="s">
        <v>59</v>
      </c>
      <c r="C340" s="18">
        <v>10</v>
      </c>
      <c r="D340" s="25" t="s">
        <v>41</v>
      </c>
      <c r="E340" s="25" t="s">
        <v>75</v>
      </c>
      <c r="F340" s="25" t="s">
        <v>39</v>
      </c>
      <c r="G340" s="25" t="s">
        <v>72</v>
      </c>
      <c r="H340" s="40">
        <v>35</v>
      </c>
      <c r="I340" s="25">
        <v>94</v>
      </c>
      <c r="J340" s="40">
        <f t="shared" si="10"/>
        <v>3290</v>
      </c>
      <c r="K340" s="40">
        <v>3740</v>
      </c>
      <c r="L340" s="27">
        <f t="shared" si="11"/>
        <v>0.8796791443850267</v>
      </c>
    </row>
    <row r="341" spans="1:12" x14ac:dyDescent="0.3">
      <c r="A341" s="41">
        <v>340</v>
      </c>
      <c r="B341" s="42" t="s">
        <v>59</v>
      </c>
      <c r="C341" s="41">
        <v>10</v>
      </c>
      <c r="D341" s="42" t="s">
        <v>41</v>
      </c>
      <c r="E341" s="42" t="s">
        <v>75</v>
      </c>
      <c r="F341" s="42" t="s">
        <v>47</v>
      </c>
      <c r="G341" s="42" t="s">
        <v>70</v>
      </c>
      <c r="H341" s="43">
        <v>15</v>
      </c>
      <c r="I341" s="42">
        <v>100</v>
      </c>
      <c r="J341" s="43">
        <f t="shared" si="10"/>
        <v>1500</v>
      </c>
      <c r="K341" s="43">
        <v>1429</v>
      </c>
      <c r="L341" s="44">
        <f t="shared" si="11"/>
        <v>1.0496850944716585</v>
      </c>
    </row>
    <row r="342" spans="1:12" x14ac:dyDescent="0.3">
      <c r="A342" s="18">
        <v>341</v>
      </c>
      <c r="B342" s="25" t="s">
        <v>59</v>
      </c>
      <c r="C342" s="18">
        <v>10</v>
      </c>
      <c r="D342" s="25" t="s">
        <v>41</v>
      </c>
      <c r="E342" s="25" t="s">
        <v>75</v>
      </c>
      <c r="F342" s="25" t="s">
        <v>35</v>
      </c>
      <c r="G342" s="25" t="s">
        <v>71</v>
      </c>
      <c r="H342" s="40">
        <v>48</v>
      </c>
      <c r="I342" s="25">
        <v>149</v>
      </c>
      <c r="J342" s="40">
        <f t="shared" si="10"/>
        <v>7152</v>
      </c>
      <c r="K342" s="40">
        <v>6718</v>
      </c>
      <c r="L342" s="27">
        <f t="shared" si="11"/>
        <v>1.0646025602857994</v>
      </c>
    </row>
    <row r="343" spans="1:12" x14ac:dyDescent="0.3">
      <c r="A343" s="41">
        <v>342</v>
      </c>
      <c r="B343" s="42" t="s">
        <v>59</v>
      </c>
      <c r="C343" s="41">
        <v>10</v>
      </c>
      <c r="D343" s="42" t="s">
        <v>41</v>
      </c>
      <c r="E343" s="42" t="s">
        <v>75</v>
      </c>
      <c r="F343" s="42" t="s">
        <v>55</v>
      </c>
      <c r="G343" s="42" t="s">
        <v>73</v>
      </c>
      <c r="H343" s="43">
        <v>12</v>
      </c>
      <c r="I343" s="42">
        <v>69</v>
      </c>
      <c r="J343" s="43">
        <f t="shared" si="10"/>
        <v>828</v>
      </c>
      <c r="K343" s="43">
        <v>761</v>
      </c>
      <c r="L343" s="44">
        <f t="shared" si="11"/>
        <v>1.0880420499342969</v>
      </c>
    </row>
    <row r="344" spans="1:12" x14ac:dyDescent="0.3">
      <c r="A344" s="18">
        <v>343</v>
      </c>
      <c r="B344" s="25" t="s">
        <v>59</v>
      </c>
      <c r="C344" s="18">
        <v>10</v>
      </c>
      <c r="D344" s="25" t="s">
        <v>49</v>
      </c>
      <c r="E344" s="25" t="s">
        <v>76</v>
      </c>
      <c r="F344" s="25" t="s">
        <v>51</v>
      </c>
      <c r="G344" s="25" t="s">
        <v>70</v>
      </c>
      <c r="H344" s="40">
        <v>8.5</v>
      </c>
      <c r="I344" s="25">
        <v>126</v>
      </c>
      <c r="J344" s="40">
        <f t="shared" si="10"/>
        <v>1071</v>
      </c>
      <c r="K344" s="40">
        <v>1085</v>
      </c>
      <c r="L344" s="27">
        <f t="shared" si="11"/>
        <v>0.98709677419354835</v>
      </c>
    </row>
    <row r="345" spans="1:12" x14ac:dyDescent="0.3">
      <c r="A345" s="41">
        <v>344</v>
      </c>
      <c r="B345" s="42" t="s">
        <v>59</v>
      </c>
      <c r="C345" s="41">
        <v>10</v>
      </c>
      <c r="D345" s="42" t="s">
        <v>49</v>
      </c>
      <c r="E345" s="42" t="s">
        <v>76</v>
      </c>
      <c r="F345" s="42" t="s">
        <v>43</v>
      </c>
      <c r="G345" s="42" t="s">
        <v>71</v>
      </c>
      <c r="H345" s="43">
        <v>22</v>
      </c>
      <c r="I345" s="42">
        <v>122</v>
      </c>
      <c r="J345" s="43">
        <f t="shared" si="10"/>
        <v>2684</v>
      </c>
      <c r="K345" s="43">
        <v>2611</v>
      </c>
      <c r="L345" s="44">
        <f t="shared" si="11"/>
        <v>1.0279586365377249</v>
      </c>
    </row>
    <row r="346" spans="1:12" x14ac:dyDescent="0.3">
      <c r="A346" s="18">
        <v>345</v>
      </c>
      <c r="B346" s="25" t="s">
        <v>59</v>
      </c>
      <c r="C346" s="18">
        <v>10</v>
      </c>
      <c r="D346" s="25" t="s">
        <v>49</v>
      </c>
      <c r="E346" s="25" t="s">
        <v>76</v>
      </c>
      <c r="F346" s="25" t="s">
        <v>39</v>
      </c>
      <c r="G346" s="25" t="s">
        <v>72</v>
      </c>
      <c r="H346" s="40">
        <v>35</v>
      </c>
      <c r="I346" s="25">
        <v>72</v>
      </c>
      <c r="J346" s="40">
        <f t="shared" si="10"/>
        <v>2520</v>
      </c>
      <c r="K346" s="40">
        <v>2713</v>
      </c>
      <c r="L346" s="27">
        <f t="shared" si="11"/>
        <v>0.92886103943973464</v>
      </c>
    </row>
    <row r="347" spans="1:12" x14ac:dyDescent="0.3">
      <c r="A347" s="41">
        <v>346</v>
      </c>
      <c r="B347" s="42" t="s">
        <v>59</v>
      </c>
      <c r="C347" s="41">
        <v>10</v>
      </c>
      <c r="D347" s="42" t="s">
        <v>49</v>
      </c>
      <c r="E347" s="42" t="s">
        <v>76</v>
      </c>
      <c r="F347" s="42" t="s">
        <v>47</v>
      </c>
      <c r="G347" s="42" t="s">
        <v>70</v>
      </c>
      <c r="H347" s="43">
        <v>15</v>
      </c>
      <c r="I347" s="42">
        <v>105</v>
      </c>
      <c r="J347" s="43">
        <f t="shared" si="10"/>
        <v>1575</v>
      </c>
      <c r="K347" s="43">
        <v>1596</v>
      </c>
      <c r="L347" s="44">
        <f t="shared" si="11"/>
        <v>0.98684210526315785</v>
      </c>
    </row>
    <row r="348" spans="1:12" x14ac:dyDescent="0.3">
      <c r="A348" s="18">
        <v>347</v>
      </c>
      <c r="B348" s="25" t="s">
        <v>59</v>
      </c>
      <c r="C348" s="18">
        <v>10</v>
      </c>
      <c r="D348" s="25" t="s">
        <v>49</v>
      </c>
      <c r="E348" s="25" t="s">
        <v>76</v>
      </c>
      <c r="F348" s="25" t="s">
        <v>35</v>
      </c>
      <c r="G348" s="25" t="s">
        <v>71</v>
      </c>
      <c r="H348" s="40">
        <v>48</v>
      </c>
      <c r="I348" s="25">
        <v>135</v>
      </c>
      <c r="J348" s="40">
        <f t="shared" si="10"/>
        <v>6480</v>
      </c>
      <c r="K348" s="40">
        <v>7329</v>
      </c>
      <c r="L348" s="27">
        <f t="shared" si="11"/>
        <v>0.88415882112157185</v>
      </c>
    </row>
    <row r="349" spans="1:12" x14ac:dyDescent="0.3">
      <c r="A349" s="41">
        <v>348</v>
      </c>
      <c r="B349" s="42" t="s">
        <v>59</v>
      </c>
      <c r="C349" s="41">
        <v>10</v>
      </c>
      <c r="D349" s="42" t="s">
        <v>49</v>
      </c>
      <c r="E349" s="42" t="s">
        <v>76</v>
      </c>
      <c r="F349" s="42" t="s">
        <v>55</v>
      </c>
      <c r="G349" s="42" t="s">
        <v>73</v>
      </c>
      <c r="H349" s="43">
        <v>12</v>
      </c>
      <c r="I349" s="42">
        <v>75</v>
      </c>
      <c r="J349" s="43">
        <f t="shared" si="10"/>
        <v>900</v>
      </c>
      <c r="K349" s="43">
        <v>951</v>
      </c>
      <c r="L349" s="44">
        <f t="shared" si="11"/>
        <v>0.94637223974763407</v>
      </c>
    </row>
    <row r="350" spans="1:12" x14ac:dyDescent="0.3">
      <c r="A350" s="18">
        <v>349</v>
      </c>
      <c r="B350" s="25" t="s">
        <v>59</v>
      </c>
      <c r="C350" s="18">
        <v>10</v>
      </c>
      <c r="D350" s="25" t="s">
        <v>53</v>
      </c>
      <c r="E350" s="25" t="s">
        <v>77</v>
      </c>
      <c r="F350" s="25" t="s">
        <v>51</v>
      </c>
      <c r="G350" s="25" t="s">
        <v>70</v>
      </c>
      <c r="H350" s="40">
        <v>8.5</v>
      </c>
      <c r="I350" s="25">
        <v>138</v>
      </c>
      <c r="J350" s="40">
        <f t="shared" si="10"/>
        <v>1173</v>
      </c>
      <c r="K350" s="40">
        <v>1329</v>
      </c>
      <c r="L350" s="27">
        <f t="shared" si="11"/>
        <v>0.88261851015801351</v>
      </c>
    </row>
    <row r="351" spans="1:12" x14ac:dyDescent="0.3">
      <c r="A351" s="41">
        <v>350</v>
      </c>
      <c r="B351" s="42" t="s">
        <v>59</v>
      </c>
      <c r="C351" s="41">
        <v>10</v>
      </c>
      <c r="D351" s="42" t="s">
        <v>53</v>
      </c>
      <c r="E351" s="42" t="s">
        <v>77</v>
      </c>
      <c r="F351" s="42" t="s">
        <v>43</v>
      </c>
      <c r="G351" s="42" t="s">
        <v>71</v>
      </c>
      <c r="H351" s="43">
        <v>22</v>
      </c>
      <c r="I351" s="42">
        <v>103</v>
      </c>
      <c r="J351" s="43">
        <f t="shared" si="10"/>
        <v>2266</v>
      </c>
      <c r="K351" s="43">
        <v>2348</v>
      </c>
      <c r="L351" s="44">
        <f t="shared" si="11"/>
        <v>0.96507666098807499</v>
      </c>
    </row>
    <row r="352" spans="1:12" x14ac:dyDescent="0.3">
      <c r="A352" s="18">
        <v>351</v>
      </c>
      <c r="B352" s="25" t="s">
        <v>59</v>
      </c>
      <c r="C352" s="18">
        <v>10</v>
      </c>
      <c r="D352" s="25" t="s">
        <v>53</v>
      </c>
      <c r="E352" s="25" t="s">
        <v>77</v>
      </c>
      <c r="F352" s="25" t="s">
        <v>39</v>
      </c>
      <c r="G352" s="25" t="s">
        <v>72</v>
      </c>
      <c r="H352" s="40">
        <v>35</v>
      </c>
      <c r="I352" s="25">
        <v>73</v>
      </c>
      <c r="J352" s="40">
        <f t="shared" si="10"/>
        <v>2555</v>
      </c>
      <c r="K352" s="40">
        <v>2880</v>
      </c>
      <c r="L352" s="27">
        <f t="shared" si="11"/>
        <v>0.88715277777777779</v>
      </c>
    </row>
    <row r="353" spans="1:12" x14ac:dyDescent="0.3">
      <c r="A353" s="41">
        <v>352</v>
      </c>
      <c r="B353" s="42" t="s">
        <v>59</v>
      </c>
      <c r="C353" s="41">
        <v>10</v>
      </c>
      <c r="D353" s="42" t="s">
        <v>53</v>
      </c>
      <c r="E353" s="42" t="s">
        <v>77</v>
      </c>
      <c r="F353" s="42" t="s">
        <v>47</v>
      </c>
      <c r="G353" s="42" t="s">
        <v>70</v>
      </c>
      <c r="H353" s="43">
        <v>15</v>
      </c>
      <c r="I353" s="42">
        <v>96</v>
      </c>
      <c r="J353" s="43">
        <f t="shared" si="10"/>
        <v>1440</v>
      </c>
      <c r="K353" s="43">
        <v>1322</v>
      </c>
      <c r="L353" s="44">
        <f t="shared" si="11"/>
        <v>1.0892586989409985</v>
      </c>
    </row>
    <row r="354" spans="1:12" x14ac:dyDescent="0.3">
      <c r="A354" s="18">
        <v>353</v>
      </c>
      <c r="B354" s="25" t="s">
        <v>59</v>
      </c>
      <c r="C354" s="18">
        <v>10</v>
      </c>
      <c r="D354" s="25" t="s">
        <v>53</v>
      </c>
      <c r="E354" s="25" t="s">
        <v>77</v>
      </c>
      <c r="F354" s="25" t="s">
        <v>35</v>
      </c>
      <c r="G354" s="25" t="s">
        <v>71</v>
      </c>
      <c r="H354" s="40">
        <v>48</v>
      </c>
      <c r="I354" s="25">
        <v>102</v>
      </c>
      <c r="J354" s="40">
        <f t="shared" si="10"/>
        <v>4896</v>
      </c>
      <c r="K354" s="40">
        <v>4783</v>
      </c>
      <c r="L354" s="27">
        <f t="shared" si="11"/>
        <v>1.02362533974493</v>
      </c>
    </row>
    <row r="355" spans="1:12" x14ac:dyDescent="0.3">
      <c r="A355" s="41">
        <v>354</v>
      </c>
      <c r="B355" s="42" t="s">
        <v>59</v>
      </c>
      <c r="C355" s="41">
        <v>10</v>
      </c>
      <c r="D355" s="42" t="s">
        <v>53</v>
      </c>
      <c r="E355" s="42" t="s">
        <v>77</v>
      </c>
      <c r="F355" s="42" t="s">
        <v>55</v>
      </c>
      <c r="G355" s="42" t="s">
        <v>73</v>
      </c>
      <c r="H355" s="43">
        <v>12</v>
      </c>
      <c r="I355" s="42">
        <v>66</v>
      </c>
      <c r="J355" s="43">
        <f t="shared" si="10"/>
        <v>792</v>
      </c>
      <c r="K355" s="43">
        <v>826</v>
      </c>
      <c r="L355" s="44">
        <f t="shared" si="11"/>
        <v>0.95883777239709445</v>
      </c>
    </row>
    <row r="356" spans="1:12" x14ac:dyDescent="0.3">
      <c r="A356" s="18">
        <v>355</v>
      </c>
      <c r="B356" s="25" t="s">
        <v>59</v>
      </c>
      <c r="C356" s="18">
        <v>10</v>
      </c>
      <c r="D356" s="25" t="s">
        <v>45</v>
      </c>
      <c r="E356" s="25" t="s">
        <v>78</v>
      </c>
      <c r="F356" s="25" t="s">
        <v>51</v>
      </c>
      <c r="G356" s="25" t="s">
        <v>70</v>
      </c>
      <c r="H356" s="40">
        <v>8.5</v>
      </c>
      <c r="I356" s="25">
        <v>146</v>
      </c>
      <c r="J356" s="40">
        <f t="shared" si="10"/>
        <v>1241</v>
      </c>
      <c r="K356" s="40">
        <v>1155</v>
      </c>
      <c r="L356" s="27">
        <f t="shared" si="11"/>
        <v>1.0744588744588746</v>
      </c>
    </row>
    <row r="357" spans="1:12" x14ac:dyDescent="0.3">
      <c r="A357" s="41">
        <v>356</v>
      </c>
      <c r="B357" s="42" t="s">
        <v>59</v>
      </c>
      <c r="C357" s="41">
        <v>10</v>
      </c>
      <c r="D357" s="42" t="s">
        <v>45</v>
      </c>
      <c r="E357" s="42" t="s">
        <v>78</v>
      </c>
      <c r="F357" s="42" t="s">
        <v>43</v>
      </c>
      <c r="G357" s="42" t="s">
        <v>71</v>
      </c>
      <c r="H357" s="43">
        <v>22</v>
      </c>
      <c r="I357" s="42">
        <v>132</v>
      </c>
      <c r="J357" s="43">
        <f t="shared" si="10"/>
        <v>2904</v>
      </c>
      <c r="K357" s="43">
        <v>3122</v>
      </c>
      <c r="L357" s="44">
        <f t="shared" si="11"/>
        <v>0.93017296604740551</v>
      </c>
    </row>
    <row r="358" spans="1:12" x14ac:dyDescent="0.3">
      <c r="A358" s="18">
        <v>357</v>
      </c>
      <c r="B358" s="25" t="s">
        <v>59</v>
      </c>
      <c r="C358" s="18">
        <v>10</v>
      </c>
      <c r="D358" s="25" t="s">
        <v>45</v>
      </c>
      <c r="E358" s="25" t="s">
        <v>78</v>
      </c>
      <c r="F358" s="25" t="s">
        <v>39</v>
      </c>
      <c r="G358" s="25" t="s">
        <v>72</v>
      </c>
      <c r="H358" s="40">
        <v>35</v>
      </c>
      <c r="I358" s="25">
        <v>94</v>
      </c>
      <c r="J358" s="40">
        <f t="shared" si="10"/>
        <v>3290</v>
      </c>
      <c r="K358" s="40">
        <v>3373</v>
      </c>
      <c r="L358" s="27">
        <f t="shared" si="11"/>
        <v>0.97539282537800176</v>
      </c>
    </row>
    <row r="359" spans="1:12" x14ac:dyDescent="0.3">
      <c r="A359" s="41">
        <v>358</v>
      </c>
      <c r="B359" s="42" t="s">
        <v>59</v>
      </c>
      <c r="C359" s="41">
        <v>10</v>
      </c>
      <c r="D359" s="42" t="s">
        <v>45</v>
      </c>
      <c r="E359" s="42" t="s">
        <v>78</v>
      </c>
      <c r="F359" s="42" t="s">
        <v>47</v>
      </c>
      <c r="G359" s="42" t="s">
        <v>70</v>
      </c>
      <c r="H359" s="43">
        <v>15</v>
      </c>
      <c r="I359" s="42">
        <v>104</v>
      </c>
      <c r="J359" s="43">
        <f t="shared" si="10"/>
        <v>1560</v>
      </c>
      <c r="K359" s="43">
        <v>1435</v>
      </c>
      <c r="L359" s="44">
        <f t="shared" si="11"/>
        <v>1.0871080139372822</v>
      </c>
    </row>
    <row r="360" spans="1:12" x14ac:dyDescent="0.3">
      <c r="A360" s="18">
        <v>359</v>
      </c>
      <c r="B360" s="25" t="s">
        <v>59</v>
      </c>
      <c r="C360" s="18">
        <v>10</v>
      </c>
      <c r="D360" s="25" t="s">
        <v>45</v>
      </c>
      <c r="E360" s="25" t="s">
        <v>78</v>
      </c>
      <c r="F360" s="25" t="s">
        <v>35</v>
      </c>
      <c r="G360" s="25" t="s">
        <v>71</v>
      </c>
      <c r="H360" s="40">
        <v>48</v>
      </c>
      <c r="I360" s="25">
        <v>117</v>
      </c>
      <c r="J360" s="40">
        <f t="shared" si="10"/>
        <v>5616</v>
      </c>
      <c r="K360" s="40">
        <v>5661</v>
      </c>
      <c r="L360" s="27">
        <f t="shared" si="11"/>
        <v>0.99205087440381556</v>
      </c>
    </row>
    <row r="361" spans="1:12" x14ac:dyDescent="0.3">
      <c r="A361" s="41">
        <v>360</v>
      </c>
      <c r="B361" s="42" t="s">
        <v>59</v>
      </c>
      <c r="C361" s="41">
        <v>10</v>
      </c>
      <c r="D361" s="42" t="s">
        <v>45</v>
      </c>
      <c r="E361" s="42" t="s">
        <v>78</v>
      </c>
      <c r="F361" s="42" t="s">
        <v>55</v>
      </c>
      <c r="G361" s="42" t="s">
        <v>73</v>
      </c>
      <c r="H361" s="43">
        <v>12</v>
      </c>
      <c r="I361" s="42">
        <v>69</v>
      </c>
      <c r="J361" s="43">
        <f t="shared" si="10"/>
        <v>828</v>
      </c>
      <c r="K361" s="43">
        <v>797</v>
      </c>
      <c r="L361" s="44">
        <f t="shared" si="11"/>
        <v>1.0388958594730238</v>
      </c>
    </row>
    <row r="362" spans="1:12" x14ac:dyDescent="0.3">
      <c r="A362" s="18">
        <v>361</v>
      </c>
      <c r="B362" s="25" t="s">
        <v>60</v>
      </c>
      <c r="C362" s="18">
        <v>11</v>
      </c>
      <c r="D362" s="25" t="s">
        <v>19</v>
      </c>
      <c r="E362" s="25" t="s">
        <v>69</v>
      </c>
      <c r="F362" s="25" t="s">
        <v>51</v>
      </c>
      <c r="G362" s="25" t="s">
        <v>70</v>
      </c>
      <c r="H362" s="40">
        <v>8.5</v>
      </c>
      <c r="I362" s="25">
        <v>284</v>
      </c>
      <c r="J362" s="40">
        <f t="shared" si="10"/>
        <v>2414</v>
      </c>
      <c r="K362" s="40">
        <v>2753</v>
      </c>
      <c r="L362" s="27">
        <f t="shared" si="11"/>
        <v>0.87686160552124959</v>
      </c>
    </row>
    <row r="363" spans="1:12" x14ac:dyDescent="0.3">
      <c r="A363" s="41">
        <v>362</v>
      </c>
      <c r="B363" s="42" t="s">
        <v>60</v>
      </c>
      <c r="C363" s="41">
        <v>11</v>
      </c>
      <c r="D363" s="42" t="s">
        <v>19</v>
      </c>
      <c r="E363" s="42" t="s">
        <v>69</v>
      </c>
      <c r="F363" s="42" t="s">
        <v>43</v>
      </c>
      <c r="G363" s="42" t="s">
        <v>71</v>
      </c>
      <c r="H363" s="43">
        <v>22</v>
      </c>
      <c r="I363" s="42">
        <v>285</v>
      </c>
      <c r="J363" s="43">
        <f t="shared" si="10"/>
        <v>6270</v>
      </c>
      <c r="K363" s="43">
        <v>6545</v>
      </c>
      <c r="L363" s="44">
        <f t="shared" si="11"/>
        <v>0.95798319327731096</v>
      </c>
    </row>
    <row r="364" spans="1:12" x14ac:dyDescent="0.3">
      <c r="A364" s="18">
        <v>363</v>
      </c>
      <c r="B364" s="25" t="s">
        <v>60</v>
      </c>
      <c r="C364" s="18">
        <v>11</v>
      </c>
      <c r="D364" s="25" t="s">
        <v>19</v>
      </c>
      <c r="E364" s="25" t="s">
        <v>69</v>
      </c>
      <c r="F364" s="25" t="s">
        <v>39</v>
      </c>
      <c r="G364" s="25" t="s">
        <v>72</v>
      </c>
      <c r="H364" s="40">
        <v>35</v>
      </c>
      <c r="I364" s="25">
        <v>196</v>
      </c>
      <c r="J364" s="40">
        <f t="shared" si="10"/>
        <v>6860</v>
      </c>
      <c r="K364" s="40">
        <v>7888</v>
      </c>
      <c r="L364" s="27">
        <f t="shared" si="11"/>
        <v>0.86967545638945232</v>
      </c>
    </row>
    <row r="365" spans="1:12" x14ac:dyDescent="0.3">
      <c r="A365" s="41">
        <v>364</v>
      </c>
      <c r="B365" s="42" t="s">
        <v>60</v>
      </c>
      <c r="C365" s="41">
        <v>11</v>
      </c>
      <c r="D365" s="42" t="s">
        <v>19</v>
      </c>
      <c r="E365" s="42" t="s">
        <v>69</v>
      </c>
      <c r="F365" s="42" t="s">
        <v>47</v>
      </c>
      <c r="G365" s="42" t="s">
        <v>70</v>
      </c>
      <c r="H365" s="43">
        <v>15</v>
      </c>
      <c r="I365" s="42">
        <v>227</v>
      </c>
      <c r="J365" s="43">
        <f t="shared" si="10"/>
        <v>3405</v>
      </c>
      <c r="K365" s="43">
        <v>3294</v>
      </c>
      <c r="L365" s="44">
        <f t="shared" si="11"/>
        <v>1.0336976320582878</v>
      </c>
    </row>
    <row r="366" spans="1:12" x14ac:dyDescent="0.3">
      <c r="A366" s="18">
        <v>365</v>
      </c>
      <c r="B366" s="25" t="s">
        <v>60</v>
      </c>
      <c r="C366" s="18">
        <v>11</v>
      </c>
      <c r="D366" s="25" t="s">
        <v>19</v>
      </c>
      <c r="E366" s="25" t="s">
        <v>69</v>
      </c>
      <c r="F366" s="25" t="s">
        <v>35</v>
      </c>
      <c r="G366" s="25" t="s">
        <v>71</v>
      </c>
      <c r="H366" s="40">
        <v>48</v>
      </c>
      <c r="I366" s="25">
        <v>242</v>
      </c>
      <c r="J366" s="40">
        <f t="shared" si="10"/>
        <v>11616</v>
      </c>
      <c r="K366" s="40">
        <v>12651</v>
      </c>
      <c r="L366" s="27">
        <f t="shared" si="11"/>
        <v>0.91818828551102682</v>
      </c>
    </row>
    <row r="367" spans="1:12" x14ac:dyDescent="0.3">
      <c r="A367" s="41">
        <v>366</v>
      </c>
      <c r="B367" s="42" t="s">
        <v>60</v>
      </c>
      <c r="C367" s="41">
        <v>11</v>
      </c>
      <c r="D367" s="42" t="s">
        <v>19</v>
      </c>
      <c r="E367" s="42" t="s">
        <v>69</v>
      </c>
      <c r="F367" s="42" t="s">
        <v>55</v>
      </c>
      <c r="G367" s="42" t="s">
        <v>73</v>
      </c>
      <c r="H367" s="43">
        <v>12</v>
      </c>
      <c r="I367" s="42">
        <v>149</v>
      </c>
      <c r="J367" s="43">
        <f t="shared" si="10"/>
        <v>1788</v>
      </c>
      <c r="K367" s="43">
        <v>1900</v>
      </c>
      <c r="L367" s="44">
        <f t="shared" si="11"/>
        <v>0.94105263157894736</v>
      </c>
    </row>
    <row r="368" spans="1:12" x14ac:dyDescent="0.3">
      <c r="A368" s="18">
        <v>367</v>
      </c>
      <c r="B368" s="25" t="s">
        <v>60</v>
      </c>
      <c r="C368" s="18">
        <v>11</v>
      </c>
      <c r="D368" s="25" t="s">
        <v>37</v>
      </c>
      <c r="E368" s="25" t="s">
        <v>74</v>
      </c>
      <c r="F368" s="25" t="s">
        <v>51</v>
      </c>
      <c r="G368" s="25" t="s">
        <v>70</v>
      </c>
      <c r="H368" s="40">
        <v>8.5</v>
      </c>
      <c r="I368" s="25">
        <v>242</v>
      </c>
      <c r="J368" s="40">
        <f t="shared" si="10"/>
        <v>2057</v>
      </c>
      <c r="K368" s="40">
        <v>1945</v>
      </c>
      <c r="L368" s="27">
        <f t="shared" si="11"/>
        <v>1.0575835475578406</v>
      </c>
    </row>
    <row r="369" spans="1:12" x14ac:dyDescent="0.3">
      <c r="A369" s="41">
        <v>368</v>
      </c>
      <c r="B369" s="42" t="s">
        <v>60</v>
      </c>
      <c r="C369" s="41">
        <v>11</v>
      </c>
      <c r="D369" s="42" t="s">
        <v>37</v>
      </c>
      <c r="E369" s="42" t="s">
        <v>74</v>
      </c>
      <c r="F369" s="42" t="s">
        <v>43</v>
      </c>
      <c r="G369" s="42" t="s">
        <v>71</v>
      </c>
      <c r="H369" s="43">
        <v>22</v>
      </c>
      <c r="I369" s="42">
        <v>177</v>
      </c>
      <c r="J369" s="43">
        <f t="shared" si="10"/>
        <v>3894</v>
      </c>
      <c r="K369" s="43">
        <v>4123</v>
      </c>
      <c r="L369" s="44">
        <f t="shared" si="11"/>
        <v>0.94445791899102594</v>
      </c>
    </row>
    <row r="370" spans="1:12" x14ac:dyDescent="0.3">
      <c r="A370" s="18">
        <v>369</v>
      </c>
      <c r="B370" s="25" t="s">
        <v>60</v>
      </c>
      <c r="C370" s="18">
        <v>11</v>
      </c>
      <c r="D370" s="25" t="s">
        <v>37</v>
      </c>
      <c r="E370" s="25" t="s">
        <v>74</v>
      </c>
      <c r="F370" s="25" t="s">
        <v>39</v>
      </c>
      <c r="G370" s="25" t="s">
        <v>72</v>
      </c>
      <c r="H370" s="40">
        <v>35</v>
      </c>
      <c r="I370" s="25">
        <v>114</v>
      </c>
      <c r="J370" s="40">
        <f t="shared" si="10"/>
        <v>3990</v>
      </c>
      <c r="K370" s="40">
        <v>3682</v>
      </c>
      <c r="L370" s="27">
        <f t="shared" si="11"/>
        <v>1.0836501901140685</v>
      </c>
    </row>
    <row r="371" spans="1:12" x14ac:dyDescent="0.3">
      <c r="A371" s="41">
        <v>370</v>
      </c>
      <c r="B371" s="42" t="s">
        <v>60</v>
      </c>
      <c r="C371" s="41">
        <v>11</v>
      </c>
      <c r="D371" s="42" t="s">
        <v>37</v>
      </c>
      <c r="E371" s="42" t="s">
        <v>74</v>
      </c>
      <c r="F371" s="42" t="s">
        <v>47</v>
      </c>
      <c r="G371" s="42" t="s">
        <v>70</v>
      </c>
      <c r="H371" s="43">
        <v>15</v>
      </c>
      <c r="I371" s="42">
        <v>137</v>
      </c>
      <c r="J371" s="43">
        <f t="shared" si="10"/>
        <v>2055</v>
      </c>
      <c r="K371" s="43">
        <v>2021</v>
      </c>
      <c r="L371" s="44">
        <f t="shared" si="11"/>
        <v>1.016823354774864</v>
      </c>
    </row>
    <row r="372" spans="1:12" x14ac:dyDescent="0.3">
      <c r="A372" s="18">
        <v>371</v>
      </c>
      <c r="B372" s="25" t="s">
        <v>60</v>
      </c>
      <c r="C372" s="18">
        <v>11</v>
      </c>
      <c r="D372" s="25" t="s">
        <v>37</v>
      </c>
      <c r="E372" s="25" t="s">
        <v>74</v>
      </c>
      <c r="F372" s="25" t="s">
        <v>35</v>
      </c>
      <c r="G372" s="25" t="s">
        <v>71</v>
      </c>
      <c r="H372" s="40">
        <v>48</v>
      </c>
      <c r="I372" s="25">
        <v>196</v>
      </c>
      <c r="J372" s="40">
        <f t="shared" si="10"/>
        <v>9408</v>
      </c>
      <c r="K372" s="40">
        <v>10485</v>
      </c>
      <c r="L372" s="27">
        <f t="shared" si="11"/>
        <v>0.89728183118741056</v>
      </c>
    </row>
    <row r="373" spans="1:12" x14ac:dyDescent="0.3">
      <c r="A373" s="41">
        <v>372</v>
      </c>
      <c r="B373" s="42" t="s">
        <v>60</v>
      </c>
      <c r="C373" s="41">
        <v>11</v>
      </c>
      <c r="D373" s="42" t="s">
        <v>37</v>
      </c>
      <c r="E373" s="42" t="s">
        <v>74</v>
      </c>
      <c r="F373" s="42" t="s">
        <v>55</v>
      </c>
      <c r="G373" s="42" t="s">
        <v>73</v>
      </c>
      <c r="H373" s="43">
        <v>12</v>
      </c>
      <c r="I373" s="42">
        <v>95</v>
      </c>
      <c r="J373" s="43">
        <f t="shared" si="10"/>
        <v>1140</v>
      </c>
      <c r="K373" s="43">
        <v>1224</v>
      </c>
      <c r="L373" s="44">
        <f t="shared" si="11"/>
        <v>0.93137254901960786</v>
      </c>
    </row>
    <row r="374" spans="1:12" x14ac:dyDescent="0.3">
      <c r="A374" s="18">
        <v>373</v>
      </c>
      <c r="B374" s="25" t="s">
        <v>60</v>
      </c>
      <c r="C374" s="18">
        <v>11</v>
      </c>
      <c r="D374" s="25" t="s">
        <v>41</v>
      </c>
      <c r="E374" s="25" t="s">
        <v>75</v>
      </c>
      <c r="F374" s="25" t="s">
        <v>51</v>
      </c>
      <c r="G374" s="25" t="s">
        <v>70</v>
      </c>
      <c r="H374" s="40">
        <v>8.5</v>
      </c>
      <c r="I374" s="25">
        <v>168</v>
      </c>
      <c r="J374" s="40">
        <f t="shared" si="10"/>
        <v>1428</v>
      </c>
      <c r="K374" s="40">
        <v>1623</v>
      </c>
      <c r="L374" s="27">
        <f t="shared" si="11"/>
        <v>0.87985212569316085</v>
      </c>
    </row>
    <row r="375" spans="1:12" x14ac:dyDescent="0.3">
      <c r="A375" s="41">
        <v>374</v>
      </c>
      <c r="B375" s="42" t="s">
        <v>60</v>
      </c>
      <c r="C375" s="41">
        <v>11</v>
      </c>
      <c r="D375" s="42" t="s">
        <v>41</v>
      </c>
      <c r="E375" s="42" t="s">
        <v>75</v>
      </c>
      <c r="F375" s="42" t="s">
        <v>43</v>
      </c>
      <c r="G375" s="42" t="s">
        <v>71</v>
      </c>
      <c r="H375" s="43">
        <v>22</v>
      </c>
      <c r="I375" s="42">
        <v>157</v>
      </c>
      <c r="J375" s="43">
        <f t="shared" si="10"/>
        <v>3454</v>
      </c>
      <c r="K375" s="43">
        <v>3584</v>
      </c>
      <c r="L375" s="44">
        <f t="shared" si="11"/>
        <v>0.9637276785714286</v>
      </c>
    </row>
    <row r="376" spans="1:12" x14ac:dyDescent="0.3">
      <c r="A376" s="18">
        <v>375</v>
      </c>
      <c r="B376" s="25" t="s">
        <v>60</v>
      </c>
      <c r="C376" s="18">
        <v>11</v>
      </c>
      <c r="D376" s="25" t="s">
        <v>41</v>
      </c>
      <c r="E376" s="25" t="s">
        <v>75</v>
      </c>
      <c r="F376" s="25" t="s">
        <v>39</v>
      </c>
      <c r="G376" s="25" t="s">
        <v>72</v>
      </c>
      <c r="H376" s="40">
        <v>35</v>
      </c>
      <c r="I376" s="25">
        <v>94</v>
      </c>
      <c r="J376" s="40">
        <f t="shared" si="10"/>
        <v>3290</v>
      </c>
      <c r="K376" s="40">
        <v>3220</v>
      </c>
      <c r="L376" s="27">
        <f t="shared" si="11"/>
        <v>1.0217391304347827</v>
      </c>
    </row>
    <row r="377" spans="1:12" x14ac:dyDescent="0.3">
      <c r="A377" s="41">
        <v>376</v>
      </c>
      <c r="B377" s="42" t="s">
        <v>60</v>
      </c>
      <c r="C377" s="41">
        <v>11</v>
      </c>
      <c r="D377" s="42" t="s">
        <v>41</v>
      </c>
      <c r="E377" s="42" t="s">
        <v>75</v>
      </c>
      <c r="F377" s="42" t="s">
        <v>47</v>
      </c>
      <c r="G377" s="42" t="s">
        <v>70</v>
      </c>
      <c r="H377" s="43">
        <v>15</v>
      </c>
      <c r="I377" s="42">
        <v>113</v>
      </c>
      <c r="J377" s="43">
        <f t="shared" si="10"/>
        <v>1695</v>
      </c>
      <c r="K377" s="43">
        <v>1937</v>
      </c>
      <c r="L377" s="44">
        <f t="shared" si="11"/>
        <v>0.87506453278265361</v>
      </c>
    </row>
    <row r="378" spans="1:12" x14ac:dyDescent="0.3">
      <c r="A378" s="18">
        <v>377</v>
      </c>
      <c r="B378" s="25" t="s">
        <v>60</v>
      </c>
      <c r="C378" s="18">
        <v>11</v>
      </c>
      <c r="D378" s="25" t="s">
        <v>41</v>
      </c>
      <c r="E378" s="25" t="s">
        <v>75</v>
      </c>
      <c r="F378" s="25" t="s">
        <v>35</v>
      </c>
      <c r="G378" s="25" t="s">
        <v>71</v>
      </c>
      <c r="H378" s="40">
        <v>48</v>
      </c>
      <c r="I378" s="25">
        <v>151</v>
      </c>
      <c r="J378" s="40">
        <f t="shared" si="10"/>
        <v>7248</v>
      </c>
      <c r="K378" s="40">
        <v>7456</v>
      </c>
      <c r="L378" s="27">
        <f t="shared" si="11"/>
        <v>0.97210300429184548</v>
      </c>
    </row>
    <row r="379" spans="1:12" x14ac:dyDescent="0.3">
      <c r="A379" s="41">
        <v>378</v>
      </c>
      <c r="B379" s="42" t="s">
        <v>60</v>
      </c>
      <c r="C379" s="41">
        <v>11</v>
      </c>
      <c r="D379" s="42" t="s">
        <v>41</v>
      </c>
      <c r="E379" s="42" t="s">
        <v>75</v>
      </c>
      <c r="F379" s="42" t="s">
        <v>55</v>
      </c>
      <c r="G379" s="42" t="s">
        <v>73</v>
      </c>
      <c r="H379" s="43">
        <v>12</v>
      </c>
      <c r="I379" s="42">
        <v>96</v>
      </c>
      <c r="J379" s="43">
        <f t="shared" si="10"/>
        <v>1152</v>
      </c>
      <c r="K379" s="43">
        <v>1226</v>
      </c>
      <c r="L379" s="44">
        <f t="shared" si="11"/>
        <v>0.93964110929853184</v>
      </c>
    </row>
    <row r="380" spans="1:12" x14ac:dyDescent="0.3">
      <c r="A380" s="18">
        <v>379</v>
      </c>
      <c r="B380" s="25" t="s">
        <v>60</v>
      </c>
      <c r="C380" s="18">
        <v>11</v>
      </c>
      <c r="D380" s="25" t="s">
        <v>49</v>
      </c>
      <c r="E380" s="25" t="s">
        <v>76</v>
      </c>
      <c r="F380" s="25" t="s">
        <v>51</v>
      </c>
      <c r="G380" s="25" t="s">
        <v>70</v>
      </c>
      <c r="H380" s="40">
        <v>8.5</v>
      </c>
      <c r="I380" s="25">
        <v>164</v>
      </c>
      <c r="J380" s="40">
        <f t="shared" si="10"/>
        <v>1394</v>
      </c>
      <c r="K380" s="40">
        <v>1399</v>
      </c>
      <c r="L380" s="27">
        <f t="shared" si="11"/>
        <v>0.99642601858470337</v>
      </c>
    </row>
    <row r="381" spans="1:12" x14ac:dyDescent="0.3">
      <c r="A381" s="41">
        <v>380</v>
      </c>
      <c r="B381" s="42" t="s">
        <v>60</v>
      </c>
      <c r="C381" s="41">
        <v>11</v>
      </c>
      <c r="D381" s="42" t="s">
        <v>49</v>
      </c>
      <c r="E381" s="42" t="s">
        <v>76</v>
      </c>
      <c r="F381" s="42" t="s">
        <v>43</v>
      </c>
      <c r="G381" s="42" t="s">
        <v>71</v>
      </c>
      <c r="H381" s="43">
        <v>22</v>
      </c>
      <c r="I381" s="42">
        <v>117</v>
      </c>
      <c r="J381" s="43">
        <f t="shared" si="10"/>
        <v>2574</v>
      </c>
      <c r="K381" s="43">
        <v>2549</v>
      </c>
      <c r="L381" s="44">
        <f t="shared" si="11"/>
        <v>1.0098077677520596</v>
      </c>
    </row>
    <row r="382" spans="1:12" x14ac:dyDescent="0.3">
      <c r="A382" s="18">
        <v>381</v>
      </c>
      <c r="B382" s="25" t="s">
        <v>60</v>
      </c>
      <c r="C382" s="18">
        <v>11</v>
      </c>
      <c r="D382" s="25" t="s">
        <v>49</v>
      </c>
      <c r="E382" s="25" t="s">
        <v>76</v>
      </c>
      <c r="F382" s="25" t="s">
        <v>39</v>
      </c>
      <c r="G382" s="25" t="s">
        <v>72</v>
      </c>
      <c r="H382" s="40">
        <v>35</v>
      </c>
      <c r="I382" s="25">
        <v>93</v>
      </c>
      <c r="J382" s="40">
        <f t="shared" si="10"/>
        <v>3255</v>
      </c>
      <c r="K382" s="40">
        <v>3438</v>
      </c>
      <c r="L382" s="27">
        <f t="shared" si="11"/>
        <v>0.94677137870855144</v>
      </c>
    </row>
    <row r="383" spans="1:12" x14ac:dyDescent="0.3">
      <c r="A383" s="41">
        <v>382</v>
      </c>
      <c r="B383" s="42" t="s">
        <v>60</v>
      </c>
      <c r="C383" s="41">
        <v>11</v>
      </c>
      <c r="D383" s="42" t="s">
        <v>49</v>
      </c>
      <c r="E383" s="42" t="s">
        <v>76</v>
      </c>
      <c r="F383" s="42" t="s">
        <v>47</v>
      </c>
      <c r="G383" s="42" t="s">
        <v>70</v>
      </c>
      <c r="H383" s="43">
        <v>15</v>
      </c>
      <c r="I383" s="42">
        <v>116</v>
      </c>
      <c r="J383" s="43">
        <f t="shared" si="10"/>
        <v>1740</v>
      </c>
      <c r="K383" s="43">
        <v>1655</v>
      </c>
      <c r="L383" s="44">
        <f t="shared" si="11"/>
        <v>1.0513595166163141</v>
      </c>
    </row>
    <row r="384" spans="1:12" x14ac:dyDescent="0.3">
      <c r="A384" s="18">
        <v>383</v>
      </c>
      <c r="B384" s="25" t="s">
        <v>60</v>
      </c>
      <c r="C384" s="18">
        <v>11</v>
      </c>
      <c r="D384" s="25" t="s">
        <v>49</v>
      </c>
      <c r="E384" s="25" t="s">
        <v>76</v>
      </c>
      <c r="F384" s="25" t="s">
        <v>35</v>
      </c>
      <c r="G384" s="25" t="s">
        <v>71</v>
      </c>
      <c r="H384" s="40">
        <v>48</v>
      </c>
      <c r="I384" s="25">
        <v>142</v>
      </c>
      <c r="J384" s="40">
        <f t="shared" si="10"/>
        <v>6816</v>
      </c>
      <c r="K384" s="40">
        <v>7715</v>
      </c>
      <c r="L384" s="27">
        <f t="shared" si="11"/>
        <v>0.88347375243033055</v>
      </c>
    </row>
    <row r="385" spans="1:12" x14ac:dyDescent="0.3">
      <c r="A385" s="41">
        <v>384</v>
      </c>
      <c r="B385" s="42" t="s">
        <v>60</v>
      </c>
      <c r="C385" s="41">
        <v>11</v>
      </c>
      <c r="D385" s="42" t="s">
        <v>49</v>
      </c>
      <c r="E385" s="42" t="s">
        <v>76</v>
      </c>
      <c r="F385" s="42" t="s">
        <v>55</v>
      </c>
      <c r="G385" s="42" t="s">
        <v>73</v>
      </c>
      <c r="H385" s="43">
        <v>12</v>
      </c>
      <c r="I385" s="42">
        <v>74</v>
      </c>
      <c r="J385" s="43">
        <f t="shared" si="10"/>
        <v>888</v>
      </c>
      <c r="K385" s="43">
        <v>954</v>
      </c>
      <c r="L385" s="44">
        <f t="shared" si="11"/>
        <v>0.9308176100628931</v>
      </c>
    </row>
    <row r="386" spans="1:12" x14ac:dyDescent="0.3">
      <c r="A386" s="18">
        <v>385</v>
      </c>
      <c r="B386" s="25" t="s">
        <v>60</v>
      </c>
      <c r="C386" s="18">
        <v>11</v>
      </c>
      <c r="D386" s="25" t="s">
        <v>53</v>
      </c>
      <c r="E386" s="25" t="s">
        <v>77</v>
      </c>
      <c r="F386" s="25" t="s">
        <v>51</v>
      </c>
      <c r="G386" s="25" t="s">
        <v>70</v>
      </c>
      <c r="H386" s="40">
        <v>8.5</v>
      </c>
      <c r="I386" s="25">
        <v>127</v>
      </c>
      <c r="J386" s="40">
        <f t="shared" ref="J386:J449" si="12">H386*I386</f>
        <v>1079.5</v>
      </c>
      <c r="K386" s="40">
        <v>1234</v>
      </c>
      <c r="L386" s="27">
        <f t="shared" ref="L386:L449" si="13">J386/K386</f>
        <v>0.87479740680713125</v>
      </c>
    </row>
    <row r="387" spans="1:12" x14ac:dyDescent="0.3">
      <c r="A387" s="41">
        <v>386</v>
      </c>
      <c r="B387" s="42" t="s">
        <v>60</v>
      </c>
      <c r="C387" s="41">
        <v>11</v>
      </c>
      <c r="D387" s="42" t="s">
        <v>53</v>
      </c>
      <c r="E387" s="42" t="s">
        <v>77</v>
      </c>
      <c r="F387" s="42" t="s">
        <v>43</v>
      </c>
      <c r="G387" s="42" t="s">
        <v>71</v>
      </c>
      <c r="H387" s="43">
        <v>22</v>
      </c>
      <c r="I387" s="42">
        <v>118</v>
      </c>
      <c r="J387" s="43">
        <f t="shared" si="12"/>
        <v>2596</v>
      </c>
      <c r="K387" s="43">
        <v>2492</v>
      </c>
      <c r="L387" s="44">
        <f t="shared" si="13"/>
        <v>1.0417335473515248</v>
      </c>
    </row>
    <row r="388" spans="1:12" x14ac:dyDescent="0.3">
      <c r="A388" s="18">
        <v>387</v>
      </c>
      <c r="B388" s="25" t="s">
        <v>60</v>
      </c>
      <c r="C388" s="18">
        <v>11</v>
      </c>
      <c r="D388" s="25" t="s">
        <v>53</v>
      </c>
      <c r="E388" s="25" t="s">
        <v>77</v>
      </c>
      <c r="F388" s="25" t="s">
        <v>39</v>
      </c>
      <c r="G388" s="25" t="s">
        <v>72</v>
      </c>
      <c r="H388" s="40">
        <v>35</v>
      </c>
      <c r="I388" s="25">
        <v>68</v>
      </c>
      <c r="J388" s="40">
        <f t="shared" si="12"/>
        <v>2380</v>
      </c>
      <c r="K388" s="40">
        <v>2470</v>
      </c>
      <c r="L388" s="27">
        <f t="shared" si="13"/>
        <v>0.96356275303643724</v>
      </c>
    </row>
    <row r="389" spans="1:12" x14ac:dyDescent="0.3">
      <c r="A389" s="41">
        <v>388</v>
      </c>
      <c r="B389" s="42" t="s">
        <v>60</v>
      </c>
      <c r="C389" s="41">
        <v>11</v>
      </c>
      <c r="D389" s="42" t="s">
        <v>53</v>
      </c>
      <c r="E389" s="42" t="s">
        <v>77</v>
      </c>
      <c r="F389" s="42" t="s">
        <v>47</v>
      </c>
      <c r="G389" s="42" t="s">
        <v>70</v>
      </c>
      <c r="H389" s="43">
        <v>15</v>
      </c>
      <c r="I389" s="42">
        <v>97</v>
      </c>
      <c r="J389" s="43">
        <f t="shared" si="12"/>
        <v>1455</v>
      </c>
      <c r="K389" s="43">
        <v>1343</v>
      </c>
      <c r="L389" s="44">
        <f t="shared" si="13"/>
        <v>1.0833953834698435</v>
      </c>
    </row>
    <row r="390" spans="1:12" x14ac:dyDescent="0.3">
      <c r="A390" s="18">
        <v>389</v>
      </c>
      <c r="B390" s="25" t="s">
        <v>60</v>
      </c>
      <c r="C390" s="18">
        <v>11</v>
      </c>
      <c r="D390" s="25" t="s">
        <v>53</v>
      </c>
      <c r="E390" s="25" t="s">
        <v>77</v>
      </c>
      <c r="F390" s="25" t="s">
        <v>35</v>
      </c>
      <c r="G390" s="25" t="s">
        <v>71</v>
      </c>
      <c r="H390" s="40">
        <v>48</v>
      </c>
      <c r="I390" s="25">
        <v>143</v>
      </c>
      <c r="J390" s="40">
        <f t="shared" si="12"/>
        <v>6864</v>
      </c>
      <c r="K390" s="40">
        <v>7744</v>
      </c>
      <c r="L390" s="27">
        <f t="shared" si="13"/>
        <v>0.88636363636363635</v>
      </c>
    </row>
    <row r="391" spans="1:12" x14ac:dyDescent="0.3">
      <c r="A391" s="41">
        <v>390</v>
      </c>
      <c r="B391" s="42" t="s">
        <v>60</v>
      </c>
      <c r="C391" s="41">
        <v>11</v>
      </c>
      <c r="D391" s="42" t="s">
        <v>53</v>
      </c>
      <c r="E391" s="42" t="s">
        <v>77</v>
      </c>
      <c r="F391" s="42" t="s">
        <v>55</v>
      </c>
      <c r="G391" s="42" t="s">
        <v>73</v>
      </c>
      <c r="H391" s="43">
        <v>12</v>
      </c>
      <c r="I391" s="42">
        <v>66</v>
      </c>
      <c r="J391" s="43">
        <f t="shared" si="12"/>
        <v>792</v>
      </c>
      <c r="K391" s="43">
        <v>736</v>
      </c>
      <c r="L391" s="44">
        <f t="shared" si="13"/>
        <v>1.076086956521739</v>
      </c>
    </row>
    <row r="392" spans="1:12" x14ac:dyDescent="0.3">
      <c r="A392" s="18">
        <v>391</v>
      </c>
      <c r="B392" s="25" t="s">
        <v>60</v>
      </c>
      <c r="C392" s="18">
        <v>11</v>
      </c>
      <c r="D392" s="25" t="s">
        <v>45</v>
      </c>
      <c r="E392" s="25" t="s">
        <v>78</v>
      </c>
      <c r="F392" s="25" t="s">
        <v>51</v>
      </c>
      <c r="G392" s="25" t="s">
        <v>70</v>
      </c>
      <c r="H392" s="40">
        <v>8.5</v>
      </c>
      <c r="I392" s="25">
        <v>188</v>
      </c>
      <c r="J392" s="40">
        <f t="shared" si="12"/>
        <v>1598</v>
      </c>
      <c r="K392" s="40">
        <v>1637</v>
      </c>
      <c r="L392" s="27">
        <f t="shared" si="13"/>
        <v>0.97617593158216254</v>
      </c>
    </row>
    <row r="393" spans="1:12" x14ac:dyDescent="0.3">
      <c r="A393" s="41">
        <v>392</v>
      </c>
      <c r="B393" s="42" t="s">
        <v>60</v>
      </c>
      <c r="C393" s="41">
        <v>11</v>
      </c>
      <c r="D393" s="42" t="s">
        <v>45</v>
      </c>
      <c r="E393" s="42" t="s">
        <v>78</v>
      </c>
      <c r="F393" s="42" t="s">
        <v>43</v>
      </c>
      <c r="G393" s="42" t="s">
        <v>71</v>
      </c>
      <c r="H393" s="43">
        <v>22</v>
      </c>
      <c r="I393" s="42">
        <v>145</v>
      </c>
      <c r="J393" s="43">
        <f t="shared" si="12"/>
        <v>3190</v>
      </c>
      <c r="K393" s="43">
        <v>3277</v>
      </c>
      <c r="L393" s="44">
        <f t="shared" si="13"/>
        <v>0.97345132743362828</v>
      </c>
    </row>
    <row r="394" spans="1:12" x14ac:dyDescent="0.3">
      <c r="A394" s="18">
        <v>393</v>
      </c>
      <c r="B394" s="25" t="s">
        <v>60</v>
      </c>
      <c r="C394" s="18">
        <v>11</v>
      </c>
      <c r="D394" s="25" t="s">
        <v>45</v>
      </c>
      <c r="E394" s="25" t="s">
        <v>78</v>
      </c>
      <c r="F394" s="25" t="s">
        <v>39</v>
      </c>
      <c r="G394" s="25" t="s">
        <v>72</v>
      </c>
      <c r="H394" s="40">
        <v>35</v>
      </c>
      <c r="I394" s="25">
        <v>85</v>
      </c>
      <c r="J394" s="40">
        <f t="shared" si="12"/>
        <v>2975</v>
      </c>
      <c r="K394" s="40">
        <v>3298</v>
      </c>
      <c r="L394" s="27">
        <f t="shared" si="13"/>
        <v>0.90206185567010311</v>
      </c>
    </row>
    <row r="395" spans="1:12" x14ac:dyDescent="0.3">
      <c r="A395" s="41">
        <v>394</v>
      </c>
      <c r="B395" s="42" t="s">
        <v>60</v>
      </c>
      <c r="C395" s="41">
        <v>11</v>
      </c>
      <c r="D395" s="42" t="s">
        <v>45</v>
      </c>
      <c r="E395" s="42" t="s">
        <v>78</v>
      </c>
      <c r="F395" s="42" t="s">
        <v>47</v>
      </c>
      <c r="G395" s="42" t="s">
        <v>70</v>
      </c>
      <c r="H395" s="43">
        <v>15</v>
      </c>
      <c r="I395" s="42">
        <v>130</v>
      </c>
      <c r="J395" s="43">
        <f t="shared" si="12"/>
        <v>1950</v>
      </c>
      <c r="K395" s="43">
        <v>1874</v>
      </c>
      <c r="L395" s="44">
        <f t="shared" si="13"/>
        <v>1.040554962646745</v>
      </c>
    </row>
    <row r="396" spans="1:12" x14ac:dyDescent="0.3">
      <c r="A396" s="18">
        <v>395</v>
      </c>
      <c r="B396" s="25" t="s">
        <v>60</v>
      </c>
      <c r="C396" s="18">
        <v>11</v>
      </c>
      <c r="D396" s="25" t="s">
        <v>45</v>
      </c>
      <c r="E396" s="25" t="s">
        <v>78</v>
      </c>
      <c r="F396" s="25" t="s">
        <v>35</v>
      </c>
      <c r="G396" s="25" t="s">
        <v>71</v>
      </c>
      <c r="H396" s="40">
        <v>48</v>
      </c>
      <c r="I396" s="25">
        <v>150</v>
      </c>
      <c r="J396" s="40">
        <f t="shared" si="12"/>
        <v>7200</v>
      </c>
      <c r="K396" s="40">
        <v>7170</v>
      </c>
      <c r="L396" s="27">
        <f t="shared" si="13"/>
        <v>1.00418410041841</v>
      </c>
    </row>
    <row r="397" spans="1:12" x14ac:dyDescent="0.3">
      <c r="A397" s="41">
        <v>396</v>
      </c>
      <c r="B397" s="42" t="s">
        <v>60</v>
      </c>
      <c r="C397" s="41">
        <v>11</v>
      </c>
      <c r="D397" s="42" t="s">
        <v>45</v>
      </c>
      <c r="E397" s="42" t="s">
        <v>78</v>
      </c>
      <c r="F397" s="42" t="s">
        <v>55</v>
      </c>
      <c r="G397" s="42" t="s">
        <v>73</v>
      </c>
      <c r="H397" s="43">
        <v>12</v>
      </c>
      <c r="I397" s="42">
        <v>89</v>
      </c>
      <c r="J397" s="43">
        <f t="shared" si="12"/>
        <v>1068</v>
      </c>
      <c r="K397" s="43">
        <v>1097</v>
      </c>
      <c r="L397" s="44">
        <f t="shared" si="13"/>
        <v>0.9735642661804923</v>
      </c>
    </row>
    <row r="398" spans="1:12" x14ac:dyDescent="0.3">
      <c r="A398" s="18">
        <v>397</v>
      </c>
      <c r="B398" s="25" t="s">
        <v>61</v>
      </c>
      <c r="C398" s="18">
        <v>12</v>
      </c>
      <c r="D398" s="25" t="s">
        <v>19</v>
      </c>
      <c r="E398" s="25" t="s">
        <v>69</v>
      </c>
      <c r="F398" s="25" t="s">
        <v>51</v>
      </c>
      <c r="G398" s="25" t="s">
        <v>70</v>
      </c>
      <c r="H398" s="40">
        <v>8.5</v>
      </c>
      <c r="I398" s="25">
        <v>390</v>
      </c>
      <c r="J398" s="40">
        <f t="shared" si="12"/>
        <v>3315</v>
      </c>
      <c r="K398" s="40">
        <v>3700</v>
      </c>
      <c r="L398" s="27">
        <f t="shared" si="13"/>
        <v>0.8959459459459459</v>
      </c>
    </row>
    <row r="399" spans="1:12" x14ac:dyDescent="0.3">
      <c r="A399" s="41">
        <v>398</v>
      </c>
      <c r="B399" s="42" t="s">
        <v>61</v>
      </c>
      <c r="C399" s="41">
        <v>12</v>
      </c>
      <c r="D399" s="42" t="s">
        <v>19</v>
      </c>
      <c r="E399" s="42" t="s">
        <v>69</v>
      </c>
      <c r="F399" s="42" t="s">
        <v>43</v>
      </c>
      <c r="G399" s="42" t="s">
        <v>71</v>
      </c>
      <c r="H399" s="43">
        <v>22</v>
      </c>
      <c r="I399" s="42">
        <v>261</v>
      </c>
      <c r="J399" s="43">
        <f t="shared" si="12"/>
        <v>5742</v>
      </c>
      <c r="K399" s="43">
        <v>6302</v>
      </c>
      <c r="L399" s="44">
        <f t="shared" si="13"/>
        <v>0.91113932085052363</v>
      </c>
    </row>
    <row r="400" spans="1:12" x14ac:dyDescent="0.3">
      <c r="A400" s="18">
        <v>399</v>
      </c>
      <c r="B400" s="25" t="s">
        <v>61</v>
      </c>
      <c r="C400" s="18">
        <v>12</v>
      </c>
      <c r="D400" s="25" t="s">
        <v>19</v>
      </c>
      <c r="E400" s="25" t="s">
        <v>69</v>
      </c>
      <c r="F400" s="25" t="s">
        <v>39</v>
      </c>
      <c r="G400" s="25" t="s">
        <v>72</v>
      </c>
      <c r="H400" s="40">
        <v>35</v>
      </c>
      <c r="I400" s="25">
        <v>182</v>
      </c>
      <c r="J400" s="40">
        <f t="shared" si="12"/>
        <v>6370</v>
      </c>
      <c r="K400" s="40">
        <v>7221</v>
      </c>
      <c r="L400" s="27">
        <f t="shared" si="13"/>
        <v>0.88214928680238192</v>
      </c>
    </row>
    <row r="401" spans="1:12" x14ac:dyDescent="0.3">
      <c r="A401" s="41">
        <v>400</v>
      </c>
      <c r="B401" s="42" t="s">
        <v>61</v>
      </c>
      <c r="C401" s="41">
        <v>12</v>
      </c>
      <c r="D401" s="42" t="s">
        <v>19</v>
      </c>
      <c r="E401" s="42" t="s">
        <v>69</v>
      </c>
      <c r="F401" s="42" t="s">
        <v>47</v>
      </c>
      <c r="G401" s="42" t="s">
        <v>70</v>
      </c>
      <c r="H401" s="43">
        <v>15</v>
      </c>
      <c r="I401" s="42">
        <v>234</v>
      </c>
      <c r="J401" s="43">
        <f t="shared" si="12"/>
        <v>3510</v>
      </c>
      <c r="K401" s="43">
        <v>3879</v>
      </c>
      <c r="L401" s="44">
        <f t="shared" si="13"/>
        <v>0.90487238979118334</v>
      </c>
    </row>
    <row r="402" spans="1:12" x14ac:dyDescent="0.3">
      <c r="A402" s="18">
        <v>401</v>
      </c>
      <c r="B402" s="25" t="s">
        <v>61</v>
      </c>
      <c r="C402" s="18">
        <v>12</v>
      </c>
      <c r="D402" s="25" t="s">
        <v>19</v>
      </c>
      <c r="E402" s="25" t="s">
        <v>69</v>
      </c>
      <c r="F402" s="25" t="s">
        <v>35</v>
      </c>
      <c r="G402" s="25" t="s">
        <v>71</v>
      </c>
      <c r="H402" s="40">
        <v>48</v>
      </c>
      <c r="I402" s="25">
        <v>284</v>
      </c>
      <c r="J402" s="40">
        <f t="shared" si="12"/>
        <v>13632</v>
      </c>
      <c r="K402" s="40">
        <v>13286</v>
      </c>
      <c r="L402" s="27">
        <f t="shared" si="13"/>
        <v>1.026042450699985</v>
      </c>
    </row>
    <row r="403" spans="1:12" x14ac:dyDescent="0.3">
      <c r="A403" s="41">
        <v>402</v>
      </c>
      <c r="B403" s="42" t="s">
        <v>61</v>
      </c>
      <c r="C403" s="41">
        <v>12</v>
      </c>
      <c r="D403" s="42" t="s">
        <v>19</v>
      </c>
      <c r="E403" s="42" t="s">
        <v>69</v>
      </c>
      <c r="F403" s="42" t="s">
        <v>55</v>
      </c>
      <c r="G403" s="42" t="s">
        <v>73</v>
      </c>
      <c r="H403" s="43">
        <v>12</v>
      </c>
      <c r="I403" s="42">
        <v>168</v>
      </c>
      <c r="J403" s="43">
        <f t="shared" si="12"/>
        <v>2016</v>
      </c>
      <c r="K403" s="43">
        <v>2318</v>
      </c>
      <c r="L403" s="44">
        <f t="shared" si="13"/>
        <v>0.86971527178602248</v>
      </c>
    </row>
    <row r="404" spans="1:12" x14ac:dyDescent="0.3">
      <c r="A404" s="18">
        <v>403</v>
      </c>
      <c r="B404" s="25" t="s">
        <v>61</v>
      </c>
      <c r="C404" s="18">
        <v>12</v>
      </c>
      <c r="D404" s="25" t="s">
        <v>37</v>
      </c>
      <c r="E404" s="25" t="s">
        <v>74</v>
      </c>
      <c r="F404" s="25" t="s">
        <v>51</v>
      </c>
      <c r="G404" s="25" t="s">
        <v>70</v>
      </c>
      <c r="H404" s="40">
        <v>8.5</v>
      </c>
      <c r="I404" s="25">
        <v>233</v>
      </c>
      <c r="J404" s="40">
        <f t="shared" si="12"/>
        <v>1980.5</v>
      </c>
      <c r="K404" s="40">
        <v>1856</v>
      </c>
      <c r="L404" s="27">
        <f t="shared" si="13"/>
        <v>1.0670797413793103</v>
      </c>
    </row>
    <row r="405" spans="1:12" x14ac:dyDescent="0.3">
      <c r="A405" s="41">
        <v>404</v>
      </c>
      <c r="B405" s="42" t="s">
        <v>61</v>
      </c>
      <c r="C405" s="41">
        <v>12</v>
      </c>
      <c r="D405" s="42" t="s">
        <v>37</v>
      </c>
      <c r="E405" s="42" t="s">
        <v>74</v>
      </c>
      <c r="F405" s="42" t="s">
        <v>43</v>
      </c>
      <c r="G405" s="42" t="s">
        <v>71</v>
      </c>
      <c r="H405" s="43">
        <v>22</v>
      </c>
      <c r="I405" s="42">
        <v>189</v>
      </c>
      <c r="J405" s="43">
        <f t="shared" si="12"/>
        <v>4158</v>
      </c>
      <c r="K405" s="43">
        <v>4101</v>
      </c>
      <c r="L405" s="44">
        <f t="shared" si="13"/>
        <v>1.013899049012436</v>
      </c>
    </row>
    <row r="406" spans="1:12" x14ac:dyDescent="0.3">
      <c r="A406" s="18">
        <v>405</v>
      </c>
      <c r="B406" s="25" t="s">
        <v>61</v>
      </c>
      <c r="C406" s="18">
        <v>12</v>
      </c>
      <c r="D406" s="25" t="s">
        <v>37</v>
      </c>
      <c r="E406" s="25" t="s">
        <v>74</v>
      </c>
      <c r="F406" s="25" t="s">
        <v>39</v>
      </c>
      <c r="G406" s="25" t="s">
        <v>72</v>
      </c>
      <c r="H406" s="40">
        <v>35</v>
      </c>
      <c r="I406" s="25">
        <v>126</v>
      </c>
      <c r="J406" s="40">
        <f t="shared" si="12"/>
        <v>4410</v>
      </c>
      <c r="K406" s="40">
        <v>4568</v>
      </c>
      <c r="L406" s="27">
        <f t="shared" si="13"/>
        <v>0.96541155866900175</v>
      </c>
    </row>
    <row r="407" spans="1:12" x14ac:dyDescent="0.3">
      <c r="A407" s="41">
        <v>406</v>
      </c>
      <c r="B407" s="42" t="s">
        <v>61</v>
      </c>
      <c r="C407" s="41">
        <v>12</v>
      </c>
      <c r="D407" s="42" t="s">
        <v>37</v>
      </c>
      <c r="E407" s="42" t="s">
        <v>74</v>
      </c>
      <c r="F407" s="42" t="s">
        <v>47</v>
      </c>
      <c r="G407" s="42" t="s">
        <v>70</v>
      </c>
      <c r="H407" s="43">
        <v>15</v>
      </c>
      <c r="I407" s="42">
        <v>153</v>
      </c>
      <c r="J407" s="43">
        <f t="shared" si="12"/>
        <v>2295</v>
      </c>
      <c r="K407" s="43">
        <v>2250</v>
      </c>
      <c r="L407" s="44">
        <f t="shared" si="13"/>
        <v>1.02</v>
      </c>
    </row>
    <row r="408" spans="1:12" x14ac:dyDescent="0.3">
      <c r="A408" s="18">
        <v>407</v>
      </c>
      <c r="B408" s="25" t="s">
        <v>61</v>
      </c>
      <c r="C408" s="18">
        <v>12</v>
      </c>
      <c r="D408" s="25" t="s">
        <v>37</v>
      </c>
      <c r="E408" s="25" t="s">
        <v>74</v>
      </c>
      <c r="F408" s="25" t="s">
        <v>35</v>
      </c>
      <c r="G408" s="25" t="s">
        <v>71</v>
      </c>
      <c r="H408" s="40">
        <v>48</v>
      </c>
      <c r="I408" s="25">
        <v>183</v>
      </c>
      <c r="J408" s="40">
        <f t="shared" si="12"/>
        <v>8784</v>
      </c>
      <c r="K408" s="40">
        <v>9437</v>
      </c>
      <c r="L408" s="27">
        <f t="shared" si="13"/>
        <v>0.93080428102151103</v>
      </c>
    </row>
    <row r="409" spans="1:12" x14ac:dyDescent="0.3">
      <c r="A409" s="41">
        <v>408</v>
      </c>
      <c r="B409" s="42" t="s">
        <v>61</v>
      </c>
      <c r="C409" s="41">
        <v>12</v>
      </c>
      <c r="D409" s="42" t="s">
        <v>37</v>
      </c>
      <c r="E409" s="42" t="s">
        <v>74</v>
      </c>
      <c r="F409" s="42" t="s">
        <v>55</v>
      </c>
      <c r="G409" s="42" t="s">
        <v>73</v>
      </c>
      <c r="H409" s="43">
        <v>12</v>
      </c>
      <c r="I409" s="42">
        <v>111</v>
      </c>
      <c r="J409" s="43">
        <f t="shared" si="12"/>
        <v>1332</v>
      </c>
      <c r="K409" s="43">
        <v>1277</v>
      </c>
      <c r="L409" s="44">
        <f t="shared" si="13"/>
        <v>1.0430696945967111</v>
      </c>
    </row>
    <row r="410" spans="1:12" x14ac:dyDescent="0.3">
      <c r="A410" s="18">
        <v>409</v>
      </c>
      <c r="B410" s="25" t="s">
        <v>61</v>
      </c>
      <c r="C410" s="18">
        <v>12</v>
      </c>
      <c r="D410" s="25" t="s">
        <v>41</v>
      </c>
      <c r="E410" s="25" t="s">
        <v>75</v>
      </c>
      <c r="F410" s="25" t="s">
        <v>51</v>
      </c>
      <c r="G410" s="25" t="s">
        <v>70</v>
      </c>
      <c r="H410" s="40">
        <v>8.5</v>
      </c>
      <c r="I410" s="25">
        <v>211</v>
      </c>
      <c r="J410" s="40">
        <f t="shared" si="12"/>
        <v>1793.5</v>
      </c>
      <c r="K410" s="40">
        <v>1634</v>
      </c>
      <c r="L410" s="27">
        <f t="shared" si="13"/>
        <v>1.0976132190942471</v>
      </c>
    </row>
    <row r="411" spans="1:12" x14ac:dyDescent="0.3">
      <c r="A411" s="41">
        <v>410</v>
      </c>
      <c r="B411" s="42" t="s">
        <v>61</v>
      </c>
      <c r="C411" s="41">
        <v>12</v>
      </c>
      <c r="D411" s="42" t="s">
        <v>41</v>
      </c>
      <c r="E411" s="42" t="s">
        <v>75</v>
      </c>
      <c r="F411" s="42" t="s">
        <v>43</v>
      </c>
      <c r="G411" s="42" t="s">
        <v>71</v>
      </c>
      <c r="H411" s="43">
        <v>22</v>
      </c>
      <c r="I411" s="42">
        <v>167</v>
      </c>
      <c r="J411" s="43">
        <f t="shared" si="12"/>
        <v>3674</v>
      </c>
      <c r="K411" s="43">
        <v>3954</v>
      </c>
      <c r="L411" s="44">
        <f t="shared" si="13"/>
        <v>0.92918563480020233</v>
      </c>
    </row>
    <row r="412" spans="1:12" x14ac:dyDescent="0.3">
      <c r="A412" s="18">
        <v>411</v>
      </c>
      <c r="B412" s="25" t="s">
        <v>61</v>
      </c>
      <c r="C412" s="18">
        <v>12</v>
      </c>
      <c r="D412" s="25" t="s">
        <v>41</v>
      </c>
      <c r="E412" s="25" t="s">
        <v>75</v>
      </c>
      <c r="F412" s="25" t="s">
        <v>39</v>
      </c>
      <c r="G412" s="25" t="s">
        <v>72</v>
      </c>
      <c r="H412" s="40">
        <v>35</v>
      </c>
      <c r="I412" s="25">
        <v>113</v>
      </c>
      <c r="J412" s="40">
        <f t="shared" si="12"/>
        <v>3955</v>
      </c>
      <c r="K412" s="40">
        <v>3941</v>
      </c>
      <c r="L412" s="27">
        <f t="shared" si="13"/>
        <v>1.0035523978685612</v>
      </c>
    </row>
    <row r="413" spans="1:12" x14ac:dyDescent="0.3">
      <c r="A413" s="41">
        <v>412</v>
      </c>
      <c r="B413" s="42" t="s">
        <v>61</v>
      </c>
      <c r="C413" s="41">
        <v>12</v>
      </c>
      <c r="D413" s="42" t="s">
        <v>41</v>
      </c>
      <c r="E413" s="42" t="s">
        <v>75</v>
      </c>
      <c r="F413" s="42" t="s">
        <v>47</v>
      </c>
      <c r="G413" s="42" t="s">
        <v>70</v>
      </c>
      <c r="H413" s="43">
        <v>15</v>
      </c>
      <c r="I413" s="42">
        <v>136</v>
      </c>
      <c r="J413" s="43">
        <f t="shared" si="12"/>
        <v>2040</v>
      </c>
      <c r="K413" s="43">
        <v>2255</v>
      </c>
      <c r="L413" s="44">
        <f t="shared" si="13"/>
        <v>0.90465631929046564</v>
      </c>
    </row>
    <row r="414" spans="1:12" x14ac:dyDescent="0.3">
      <c r="A414" s="18">
        <v>413</v>
      </c>
      <c r="B414" s="25" t="s">
        <v>61</v>
      </c>
      <c r="C414" s="18">
        <v>12</v>
      </c>
      <c r="D414" s="25" t="s">
        <v>41</v>
      </c>
      <c r="E414" s="25" t="s">
        <v>75</v>
      </c>
      <c r="F414" s="25" t="s">
        <v>35</v>
      </c>
      <c r="G414" s="25" t="s">
        <v>71</v>
      </c>
      <c r="H414" s="40">
        <v>48</v>
      </c>
      <c r="I414" s="25">
        <v>193</v>
      </c>
      <c r="J414" s="40">
        <f t="shared" si="12"/>
        <v>9264</v>
      </c>
      <c r="K414" s="40">
        <v>9485</v>
      </c>
      <c r="L414" s="27">
        <f t="shared" si="13"/>
        <v>0.97670005271481286</v>
      </c>
    </row>
    <row r="415" spans="1:12" x14ac:dyDescent="0.3">
      <c r="A415" s="41">
        <v>414</v>
      </c>
      <c r="B415" s="42" t="s">
        <v>61</v>
      </c>
      <c r="C415" s="41">
        <v>12</v>
      </c>
      <c r="D415" s="42" t="s">
        <v>41</v>
      </c>
      <c r="E415" s="42" t="s">
        <v>75</v>
      </c>
      <c r="F415" s="42" t="s">
        <v>55</v>
      </c>
      <c r="G415" s="42" t="s">
        <v>73</v>
      </c>
      <c r="H415" s="43">
        <v>12</v>
      </c>
      <c r="I415" s="42">
        <v>78</v>
      </c>
      <c r="J415" s="43">
        <f t="shared" si="12"/>
        <v>936</v>
      </c>
      <c r="K415" s="43">
        <v>960</v>
      </c>
      <c r="L415" s="44">
        <f t="shared" si="13"/>
        <v>0.97499999999999998</v>
      </c>
    </row>
    <row r="416" spans="1:12" x14ac:dyDescent="0.3">
      <c r="A416" s="18">
        <v>415</v>
      </c>
      <c r="B416" s="25" t="s">
        <v>61</v>
      </c>
      <c r="C416" s="18">
        <v>12</v>
      </c>
      <c r="D416" s="25" t="s">
        <v>49</v>
      </c>
      <c r="E416" s="25" t="s">
        <v>76</v>
      </c>
      <c r="F416" s="25" t="s">
        <v>51</v>
      </c>
      <c r="G416" s="25" t="s">
        <v>70</v>
      </c>
      <c r="H416" s="40">
        <v>8.5</v>
      </c>
      <c r="I416" s="25">
        <v>180</v>
      </c>
      <c r="J416" s="40">
        <f t="shared" si="12"/>
        <v>1530</v>
      </c>
      <c r="K416" s="40">
        <v>1710</v>
      </c>
      <c r="L416" s="27">
        <f t="shared" si="13"/>
        <v>0.89473684210526316</v>
      </c>
    </row>
    <row r="417" spans="1:12" x14ac:dyDescent="0.3">
      <c r="A417" s="41">
        <v>416</v>
      </c>
      <c r="B417" s="42" t="s">
        <v>61</v>
      </c>
      <c r="C417" s="41">
        <v>12</v>
      </c>
      <c r="D417" s="42" t="s">
        <v>49</v>
      </c>
      <c r="E417" s="42" t="s">
        <v>76</v>
      </c>
      <c r="F417" s="42" t="s">
        <v>43</v>
      </c>
      <c r="G417" s="42" t="s">
        <v>71</v>
      </c>
      <c r="H417" s="43">
        <v>22</v>
      </c>
      <c r="I417" s="42">
        <v>156</v>
      </c>
      <c r="J417" s="43">
        <f t="shared" si="12"/>
        <v>3432</v>
      </c>
      <c r="K417" s="43">
        <v>3467</v>
      </c>
      <c r="L417" s="44">
        <f t="shared" si="13"/>
        <v>0.98990481684453413</v>
      </c>
    </row>
    <row r="418" spans="1:12" x14ac:dyDescent="0.3">
      <c r="A418" s="18">
        <v>417</v>
      </c>
      <c r="B418" s="25" t="s">
        <v>61</v>
      </c>
      <c r="C418" s="18">
        <v>12</v>
      </c>
      <c r="D418" s="25" t="s">
        <v>49</v>
      </c>
      <c r="E418" s="25" t="s">
        <v>76</v>
      </c>
      <c r="F418" s="25" t="s">
        <v>39</v>
      </c>
      <c r="G418" s="25" t="s">
        <v>72</v>
      </c>
      <c r="H418" s="40">
        <v>35</v>
      </c>
      <c r="I418" s="25">
        <v>94</v>
      </c>
      <c r="J418" s="40">
        <f t="shared" si="12"/>
        <v>3290</v>
      </c>
      <c r="K418" s="40">
        <v>3337</v>
      </c>
      <c r="L418" s="27">
        <f t="shared" si="13"/>
        <v>0.9859154929577465</v>
      </c>
    </row>
    <row r="419" spans="1:12" x14ac:dyDescent="0.3">
      <c r="A419" s="41">
        <v>418</v>
      </c>
      <c r="B419" s="42" t="s">
        <v>61</v>
      </c>
      <c r="C419" s="41">
        <v>12</v>
      </c>
      <c r="D419" s="42" t="s">
        <v>49</v>
      </c>
      <c r="E419" s="42" t="s">
        <v>76</v>
      </c>
      <c r="F419" s="42" t="s">
        <v>47</v>
      </c>
      <c r="G419" s="42" t="s">
        <v>70</v>
      </c>
      <c r="H419" s="43">
        <v>15</v>
      </c>
      <c r="I419" s="42">
        <v>124</v>
      </c>
      <c r="J419" s="43">
        <f t="shared" si="12"/>
        <v>1860</v>
      </c>
      <c r="K419" s="43">
        <v>1865</v>
      </c>
      <c r="L419" s="44">
        <f t="shared" si="13"/>
        <v>0.99731903485254692</v>
      </c>
    </row>
    <row r="420" spans="1:12" x14ac:dyDescent="0.3">
      <c r="A420" s="18">
        <v>419</v>
      </c>
      <c r="B420" s="25" t="s">
        <v>61</v>
      </c>
      <c r="C420" s="18">
        <v>12</v>
      </c>
      <c r="D420" s="25" t="s">
        <v>49</v>
      </c>
      <c r="E420" s="25" t="s">
        <v>76</v>
      </c>
      <c r="F420" s="25" t="s">
        <v>35</v>
      </c>
      <c r="G420" s="25" t="s">
        <v>71</v>
      </c>
      <c r="H420" s="40">
        <v>48</v>
      </c>
      <c r="I420" s="25">
        <v>159</v>
      </c>
      <c r="J420" s="40">
        <f t="shared" si="12"/>
        <v>7632</v>
      </c>
      <c r="K420" s="40">
        <v>7163</v>
      </c>
      <c r="L420" s="27">
        <f t="shared" si="13"/>
        <v>1.0654753594862487</v>
      </c>
    </row>
    <row r="421" spans="1:12" x14ac:dyDescent="0.3">
      <c r="A421" s="41">
        <v>420</v>
      </c>
      <c r="B421" s="42" t="s">
        <v>61</v>
      </c>
      <c r="C421" s="41">
        <v>12</v>
      </c>
      <c r="D421" s="42" t="s">
        <v>49</v>
      </c>
      <c r="E421" s="42" t="s">
        <v>76</v>
      </c>
      <c r="F421" s="42" t="s">
        <v>55</v>
      </c>
      <c r="G421" s="42" t="s">
        <v>73</v>
      </c>
      <c r="H421" s="43">
        <v>12</v>
      </c>
      <c r="I421" s="42">
        <v>81</v>
      </c>
      <c r="J421" s="43">
        <f t="shared" si="12"/>
        <v>972</v>
      </c>
      <c r="K421" s="43">
        <v>1110</v>
      </c>
      <c r="L421" s="44">
        <f t="shared" si="13"/>
        <v>0.87567567567567572</v>
      </c>
    </row>
    <row r="422" spans="1:12" x14ac:dyDescent="0.3">
      <c r="A422" s="18">
        <v>421</v>
      </c>
      <c r="B422" s="25" t="s">
        <v>61</v>
      </c>
      <c r="C422" s="18">
        <v>12</v>
      </c>
      <c r="D422" s="25" t="s">
        <v>53</v>
      </c>
      <c r="E422" s="25" t="s">
        <v>77</v>
      </c>
      <c r="F422" s="25" t="s">
        <v>51</v>
      </c>
      <c r="G422" s="25" t="s">
        <v>70</v>
      </c>
      <c r="H422" s="40">
        <v>8.5</v>
      </c>
      <c r="I422" s="25">
        <v>148</v>
      </c>
      <c r="J422" s="40">
        <f t="shared" si="12"/>
        <v>1258</v>
      </c>
      <c r="K422" s="40">
        <v>1350</v>
      </c>
      <c r="L422" s="27">
        <f t="shared" si="13"/>
        <v>0.93185185185185182</v>
      </c>
    </row>
    <row r="423" spans="1:12" x14ac:dyDescent="0.3">
      <c r="A423" s="41">
        <v>422</v>
      </c>
      <c r="B423" s="42" t="s">
        <v>61</v>
      </c>
      <c r="C423" s="41">
        <v>12</v>
      </c>
      <c r="D423" s="42" t="s">
        <v>53</v>
      </c>
      <c r="E423" s="42" t="s">
        <v>77</v>
      </c>
      <c r="F423" s="42" t="s">
        <v>43</v>
      </c>
      <c r="G423" s="42" t="s">
        <v>71</v>
      </c>
      <c r="H423" s="43">
        <v>22</v>
      </c>
      <c r="I423" s="42">
        <v>130</v>
      </c>
      <c r="J423" s="43">
        <f t="shared" si="12"/>
        <v>2860</v>
      </c>
      <c r="K423" s="43">
        <v>3183</v>
      </c>
      <c r="L423" s="44">
        <f t="shared" si="13"/>
        <v>0.89852340559220856</v>
      </c>
    </row>
    <row r="424" spans="1:12" x14ac:dyDescent="0.3">
      <c r="A424" s="18">
        <v>423</v>
      </c>
      <c r="B424" s="25" t="s">
        <v>61</v>
      </c>
      <c r="C424" s="18">
        <v>12</v>
      </c>
      <c r="D424" s="25" t="s">
        <v>53</v>
      </c>
      <c r="E424" s="25" t="s">
        <v>77</v>
      </c>
      <c r="F424" s="25" t="s">
        <v>39</v>
      </c>
      <c r="G424" s="25" t="s">
        <v>72</v>
      </c>
      <c r="H424" s="40">
        <v>35</v>
      </c>
      <c r="I424" s="25">
        <v>91</v>
      </c>
      <c r="J424" s="40">
        <f t="shared" si="12"/>
        <v>3185</v>
      </c>
      <c r="K424" s="40">
        <v>3551</v>
      </c>
      <c r="L424" s="27">
        <f t="shared" si="13"/>
        <v>0.89693044212897777</v>
      </c>
    </row>
    <row r="425" spans="1:12" x14ac:dyDescent="0.3">
      <c r="A425" s="41">
        <v>424</v>
      </c>
      <c r="B425" s="42" t="s">
        <v>61</v>
      </c>
      <c r="C425" s="41">
        <v>12</v>
      </c>
      <c r="D425" s="42" t="s">
        <v>53</v>
      </c>
      <c r="E425" s="42" t="s">
        <v>77</v>
      </c>
      <c r="F425" s="42" t="s">
        <v>47</v>
      </c>
      <c r="G425" s="42" t="s">
        <v>70</v>
      </c>
      <c r="H425" s="43">
        <v>15</v>
      </c>
      <c r="I425" s="42">
        <v>100</v>
      </c>
      <c r="J425" s="43">
        <f t="shared" si="12"/>
        <v>1500</v>
      </c>
      <c r="K425" s="43">
        <v>1469</v>
      </c>
      <c r="L425" s="44">
        <f t="shared" si="13"/>
        <v>1.0211027910142954</v>
      </c>
    </row>
    <row r="426" spans="1:12" x14ac:dyDescent="0.3">
      <c r="A426" s="18">
        <v>425</v>
      </c>
      <c r="B426" s="25" t="s">
        <v>61</v>
      </c>
      <c r="C426" s="18">
        <v>12</v>
      </c>
      <c r="D426" s="25" t="s">
        <v>53</v>
      </c>
      <c r="E426" s="25" t="s">
        <v>77</v>
      </c>
      <c r="F426" s="25" t="s">
        <v>35</v>
      </c>
      <c r="G426" s="25" t="s">
        <v>71</v>
      </c>
      <c r="H426" s="40">
        <v>48</v>
      </c>
      <c r="I426" s="25">
        <v>144</v>
      </c>
      <c r="J426" s="40">
        <f t="shared" si="12"/>
        <v>6912</v>
      </c>
      <c r="K426" s="40">
        <v>7533</v>
      </c>
      <c r="L426" s="27">
        <f t="shared" si="13"/>
        <v>0.91756272401433692</v>
      </c>
    </row>
    <row r="427" spans="1:12" x14ac:dyDescent="0.3">
      <c r="A427" s="41">
        <v>426</v>
      </c>
      <c r="B427" s="42" t="s">
        <v>61</v>
      </c>
      <c r="C427" s="41">
        <v>12</v>
      </c>
      <c r="D427" s="42" t="s">
        <v>53</v>
      </c>
      <c r="E427" s="42" t="s">
        <v>77</v>
      </c>
      <c r="F427" s="42" t="s">
        <v>55</v>
      </c>
      <c r="G427" s="42" t="s">
        <v>73</v>
      </c>
      <c r="H427" s="43">
        <v>12</v>
      </c>
      <c r="I427" s="42">
        <v>80</v>
      </c>
      <c r="J427" s="43">
        <f t="shared" si="12"/>
        <v>960</v>
      </c>
      <c r="K427" s="43">
        <v>873</v>
      </c>
      <c r="L427" s="44">
        <f t="shared" si="13"/>
        <v>1.0996563573883162</v>
      </c>
    </row>
    <row r="428" spans="1:12" x14ac:dyDescent="0.3">
      <c r="A428" s="18">
        <v>427</v>
      </c>
      <c r="B428" s="25" t="s">
        <v>61</v>
      </c>
      <c r="C428" s="18">
        <v>12</v>
      </c>
      <c r="D428" s="25" t="s">
        <v>45</v>
      </c>
      <c r="E428" s="25" t="s">
        <v>78</v>
      </c>
      <c r="F428" s="25" t="s">
        <v>51</v>
      </c>
      <c r="G428" s="25" t="s">
        <v>70</v>
      </c>
      <c r="H428" s="40">
        <v>8.5</v>
      </c>
      <c r="I428" s="25">
        <v>161</v>
      </c>
      <c r="J428" s="40">
        <f t="shared" si="12"/>
        <v>1368.5</v>
      </c>
      <c r="K428" s="40">
        <v>1448</v>
      </c>
      <c r="L428" s="27">
        <f t="shared" si="13"/>
        <v>0.94509668508287292</v>
      </c>
    </row>
    <row r="429" spans="1:12" x14ac:dyDescent="0.3">
      <c r="A429" s="41">
        <v>428</v>
      </c>
      <c r="B429" s="42" t="s">
        <v>61</v>
      </c>
      <c r="C429" s="41">
        <v>12</v>
      </c>
      <c r="D429" s="42" t="s">
        <v>45</v>
      </c>
      <c r="E429" s="42" t="s">
        <v>78</v>
      </c>
      <c r="F429" s="42" t="s">
        <v>43</v>
      </c>
      <c r="G429" s="42" t="s">
        <v>71</v>
      </c>
      <c r="H429" s="43">
        <v>22</v>
      </c>
      <c r="I429" s="42">
        <v>166</v>
      </c>
      <c r="J429" s="43">
        <f t="shared" si="12"/>
        <v>3652</v>
      </c>
      <c r="K429" s="43">
        <v>4197</v>
      </c>
      <c r="L429" s="44">
        <f t="shared" si="13"/>
        <v>0.87014534191088877</v>
      </c>
    </row>
    <row r="430" spans="1:12" x14ac:dyDescent="0.3">
      <c r="A430" s="18">
        <v>429</v>
      </c>
      <c r="B430" s="25" t="s">
        <v>61</v>
      </c>
      <c r="C430" s="18">
        <v>12</v>
      </c>
      <c r="D430" s="25" t="s">
        <v>45</v>
      </c>
      <c r="E430" s="25" t="s">
        <v>78</v>
      </c>
      <c r="F430" s="25" t="s">
        <v>39</v>
      </c>
      <c r="G430" s="25" t="s">
        <v>72</v>
      </c>
      <c r="H430" s="40">
        <v>35</v>
      </c>
      <c r="I430" s="25">
        <v>106</v>
      </c>
      <c r="J430" s="40">
        <f t="shared" si="12"/>
        <v>3710</v>
      </c>
      <c r="K430" s="40">
        <v>3742</v>
      </c>
      <c r="L430" s="27">
        <f t="shared" si="13"/>
        <v>0.9914484233030465</v>
      </c>
    </row>
    <row r="431" spans="1:12" x14ac:dyDescent="0.3">
      <c r="A431" s="41">
        <v>430</v>
      </c>
      <c r="B431" s="42" t="s">
        <v>61</v>
      </c>
      <c r="C431" s="41">
        <v>12</v>
      </c>
      <c r="D431" s="42" t="s">
        <v>45</v>
      </c>
      <c r="E431" s="42" t="s">
        <v>78</v>
      </c>
      <c r="F431" s="42" t="s">
        <v>47</v>
      </c>
      <c r="G431" s="42" t="s">
        <v>70</v>
      </c>
      <c r="H431" s="43">
        <v>15</v>
      </c>
      <c r="I431" s="42">
        <v>108</v>
      </c>
      <c r="J431" s="43">
        <f t="shared" si="12"/>
        <v>1620</v>
      </c>
      <c r="K431" s="43">
        <v>1715</v>
      </c>
      <c r="L431" s="44">
        <f t="shared" si="13"/>
        <v>0.94460641399416911</v>
      </c>
    </row>
    <row r="432" spans="1:12" x14ac:dyDescent="0.3">
      <c r="A432" s="18">
        <v>431</v>
      </c>
      <c r="B432" s="25" t="s">
        <v>61</v>
      </c>
      <c r="C432" s="18">
        <v>12</v>
      </c>
      <c r="D432" s="25" t="s">
        <v>45</v>
      </c>
      <c r="E432" s="25" t="s">
        <v>78</v>
      </c>
      <c r="F432" s="25" t="s">
        <v>35</v>
      </c>
      <c r="G432" s="25" t="s">
        <v>71</v>
      </c>
      <c r="H432" s="40">
        <v>48</v>
      </c>
      <c r="I432" s="25">
        <v>178</v>
      </c>
      <c r="J432" s="40">
        <f t="shared" si="12"/>
        <v>8544</v>
      </c>
      <c r="K432" s="40">
        <v>8637</v>
      </c>
      <c r="L432" s="27">
        <f t="shared" si="13"/>
        <v>0.98923237235151096</v>
      </c>
    </row>
    <row r="433" spans="1:12" x14ac:dyDescent="0.3">
      <c r="A433" s="41">
        <v>432</v>
      </c>
      <c r="B433" s="42" t="s">
        <v>61</v>
      </c>
      <c r="C433" s="41">
        <v>12</v>
      </c>
      <c r="D433" s="42" t="s">
        <v>45</v>
      </c>
      <c r="E433" s="42" t="s">
        <v>78</v>
      </c>
      <c r="F433" s="42" t="s">
        <v>55</v>
      </c>
      <c r="G433" s="42" t="s">
        <v>73</v>
      </c>
      <c r="H433" s="43">
        <v>12</v>
      </c>
      <c r="I433" s="42">
        <v>91</v>
      </c>
      <c r="J433" s="43">
        <f t="shared" si="12"/>
        <v>1092</v>
      </c>
      <c r="K433" s="43">
        <v>1229</v>
      </c>
      <c r="L433" s="44">
        <f t="shared" si="13"/>
        <v>0.88852725793327914</v>
      </c>
    </row>
  </sheetData>
  <conditionalFormatting sqref="L2:L433">
    <cfRule type="colorScale" priority="2">
      <colorScale>
        <cfvo type="num" val="0.7"/>
        <cfvo type="num" val="1"/>
        <cfvo type="num" val="1.3"/>
        <color rgb="FFFF4444"/>
        <color rgb="FFFFEB3B"/>
        <color rgb="FF4CAF5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73E8"/>
  </sheetPr>
  <dimension ref="A3:H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2" width="9" customWidth="1"/>
    <col min="3" max="4" width="18" customWidth="1"/>
    <col min="5" max="6" width="14" customWidth="1"/>
    <col min="7" max="7" width="20" customWidth="1"/>
    <col min="8" max="8" width="12" customWidth="1"/>
  </cols>
  <sheetData>
    <row r="3" spans="1:8" ht="34.5" customHeight="1" x14ac:dyDescent="0.3">
      <c r="A3" s="45" t="s">
        <v>23</v>
      </c>
      <c r="B3" s="45" t="s">
        <v>63</v>
      </c>
      <c r="C3" s="45" t="s">
        <v>79</v>
      </c>
      <c r="D3" s="45" t="s">
        <v>68</v>
      </c>
      <c r="E3" s="45" t="s">
        <v>10</v>
      </c>
      <c r="F3" s="45" t="s">
        <v>80</v>
      </c>
      <c r="G3" s="45" t="s">
        <v>81</v>
      </c>
      <c r="H3" s="45" t="s">
        <v>82</v>
      </c>
    </row>
    <row r="4" spans="1:8" x14ac:dyDescent="0.3">
      <c r="A4" s="18" t="s">
        <v>33</v>
      </c>
      <c r="B4" s="18">
        <v>1</v>
      </c>
      <c r="C4" s="19">
        <v>70464</v>
      </c>
      <c r="D4" s="19">
        <v>71122</v>
      </c>
      <c r="E4" s="27">
        <f t="shared" ref="E4:E16" si="0">C4/D4</f>
        <v>0.9907482916678384</v>
      </c>
      <c r="F4" s="26">
        <v>3020</v>
      </c>
      <c r="G4" s="19">
        <f>C4</f>
        <v>70464</v>
      </c>
      <c r="H4" s="18" t="s">
        <v>83</v>
      </c>
    </row>
    <row r="5" spans="1:8" x14ac:dyDescent="0.3">
      <c r="A5" s="28" t="s">
        <v>36</v>
      </c>
      <c r="B5" s="28">
        <v>2</v>
      </c>
      <c r="C5" s="29">
        <v>76642</v>
      </c>
      <c r="D5" s="29">
        <v>78428</v>
      </c>
      <c r="E5" s="46">
        <f t="shared" si="0"/>
        <v>0.9772275207833937</v>
      </c>
      <c r="F5" s="47">
        <v>3281</v>
      </c>
      <c r="G5" s="29">
        <f t="shared" ref="G5:G15" si="1">G4+C5</f>
        <v>147106</v>
      </c>
      <c r="H5" s="48">
        <f t="shared" ref="H5:H15" si="2">(C5-C4)/C4</f>
        <v>8.7675976385104451E-2</v>
      </c>
    </row>
    <row r="6" spans="1:8" x14ac:dyDescent="0.3">
      <c r="A6" s="18" t="s">
        <v>40</v>
      </c>
      <c r="B6" s="18">
        <v>3</v>
      </c>
      <c r="C6" s="19">
        <v>85718</v>
      </c>
      <c r="D6" s="19">
        <v>87312</v>
      </c>
      <c r="E6" s="27">
        <f t="shared" si="0"/>
        <v>0.98174363203225212</v>
      </c>
      <c r="F6" s="26">
        <v>3650</v>
      </c>
      <c r="G6" s="19">
        <f t="shared" si="1"/>
        <v>232824</v>
      </c>
      <c r="H6" s="49">
        <f t="shared" si="2"/>
        <v>0.11842070927167872</v>
      </c>
    </row>
    <row r="7" spans="1:8" x14ac:dyDescent="0.3">
      <c r="A7" s="28" t="s">
        <v>44</v>
      </c>
      <c r="B7" s="28">
        <v>4</v>
      </c>
      <c r="C7" s="29">
        <v>91036</v>
      </c>
      <c r="D7" s="29">
        <v>94851</v>
      </c>
      <c r="E7" s="46">
        <f t="shared" si="0"/>
        <v>0.95977902183424524</v>
      </c>
      <c r="F7" s="47">
        <v>3822</v>
      </c>
      <c r="G7" s="29">
        <f t="shared" si="1"/>
        <v>323860</v>
      </c>
      <c r="H7" s="48">
        <f t="shared" si="2"/>
        <v>6.2040644905387431E-2</v>
      </c>
    </row>
    <row r="8" spans="1:8" x14ac:dyDescent="0.3">
      <c r="A8" s="18" t="s">
        <v>48</v>
      </c>
      <c r="B8" s="18">
        <v>5</v>
      </c>
      <c r="C8" s="19">
        <v>104024</v>
      </c>
      <c r="D8" s="19">
        <v>106437</v>
      </c>
      <c r="E8" s="27">
        <f t="shared" si="0"/>
        <v>0.97732931217527741</v>
      </c>
      <c r="F8" s="26">
        <v>4361</v>
      </c>
      <c r="G8" s="19">
        <f t="shared" si="1"/>
        <v>427884</v>
      </c>
      <c r="H8" s="49">
        <f t="shared" si="2"/>
        <v>0.14266883430730701</v>
      </c>
    </row>
    <row r="9" spans="1:8" x14ac:dyDescent="0.3">
      <c r="A9" s="28" t="s">
        <v>52</v>
      </c>
      <c r="B9" s="28">
        <v>6</v>
      </c>
      <c r="C9" s="29">
        <v>95370</v>
      </c>
      <c r="D9" s="29">
        <v>97783</v>
      </c>
      <c r="E9" s="46">
        <f t="shared" si="0"/>
        <v>0.97532290889009332</v>
      </c>
      <c r="F9" s="47">
        <v>4066</v>
      </c>
      <c r="G9" s="29">
        <f t="shared" si="1"/>
        <v>523254</v>
      </c>
      <c r="H9" s="48">
        <f t="shared" si="2"/>
        <v>-8.3192340229177889E-2</v>
      </c>
    </row>
    <row r="10" spans="1:8" x14ac:dyDescent="0.3">
      <c r="A10" s="18" t="s">
        <v>56</v>
      </c>
      <c r="B10" s="18">
        <v>7</v>
      </c>
      <c r="C10" s="19">
        <v>81520</v>
      </c>
      <c r="D10" s="19">
        <v>83862</v>
      </c>
      <c r="E10" s="27">
        <f t="shared" si="0"/>
        <v>0.97207316782332875</v>
      </c>
      <c r="F10" s="26">
        <v>3451</v>
      </c>
      <c r="G10" s="19">
        <f t="shared" si="1"/>
        <v>604774</v>
      </c>
      <c r="H10" s="49">
        <f t="shared" si="2"/>
        <v>-0.14522386494704834</v>
      </c>
    </row>
    <row r="11" spans="1:8" x14ac:dyDescent="0.3">
      <c r="A11" s="28" t="s">
        <v>57</v>
      </c>
      <c r="B11" s="28">
        <v>8</v>
      </c>
      <c r="C11" s="29">
        <v>75403</v>
      </c>
      <c r="D11" s="29">
        <v>77773</v>
      </c>
      <c r="E11" s="46">
        <f t="shared" si="0"/>
        <v>0.96952669949725478</v>
      </c>
      <c r="F11" s="47">
        <v>3170</v>
      </c>
      <c r="G11" s="29">
        <f t="shared" si="1"/>
        <v>680177</v>
      </c>
      <c r="H11" s="48">
        <f t="shared" si="2"/>
        <v>-7.5036800785083416E-2</v>
      </c>
    </row>
    <row r="12" spans="1:8" x14ac:dyDescent="0.3">
      <c r="A12" s="18" t="s">
        <v>58</v>
      </c>
      <c r="B12" s="18">
        <v>9</v>
      </c>
      <c r="C12" s="19">
        <v>102438</v>
      </c>
      <c r="D12" s="19">
        <v>102597</v>
      </c>
      <c r="E12" s="27">
        <f t="shared" si="0"/>
        <v>0.99845024708324803</v>
      </c>
      <c r="F12" s="26">
        <v>4319</v>
      </c>
      <c r="G12" s="19">
        <f t="shared" si="1"/>
        <v>782615</v>
      </c>
      <c r="H12" s="49">
        <f t="shared" si="2"/>
        <v>0.35854011113616169</v>
      </c>
    </row>
    <row r="13" spans="1:8" x14ac:dyDescent="0.3">
      <c r="A13" s="28" t="s">
        <v>59</v>
      </c>
      <c r="B13" s="28">
        <v>10</v>
      </c>
      <c r="C13" s="29">
        <v>111227</v>
      </c>
      <c r="D13" s="29">
        <v>113027</v>
      </c>
      <c r="E13" s="46">
        <f t="shared" si="0"/>
        <v>0.98407460164385496</v>
      </c>
      <c r="F13" s="47">
        <v>4761</v>
      </c>
      <c r="G13" s="29">
        <f t="shared" si="1"/>
        <v>893842</v>
      </c>
      <c r="H13" s="48">
        <f t="shared" si="2"/>
        <v>8.5798238934770302E-2</v>
      </c>
    </row>
    <row r="14" spans="1:8" x14ac:dyDescent="0.3">
      <c r="A14" s="18" t="s">
        <v>60</v>
      </c>
      <c r="B14" s="18">
        <v>11</v>
      </c>
      <c r="C14" s="19">
        <v>122978</v>
      </c>
      <c r="D14" s="19">
        <v>129637</v>
      </c>
      <c r="E14" s="27">
        <f t="shared" si="0"/>
        <v>0.94863349198145586</v>
      </c>
      <c r="F14" s="26">
        <v>5235</v>
      </c>
      <c r="G14" s="19">
        <f t="shared" si="1"/>
        <v>1016820</v>
      </c>
      <c r="H14" s="49">
        <f t="shared" si="2"/>
        <v>0.10564880829295045</v>
      </c>
    </row>
    <row r="15" spans="1:8" x14ac:dyDescent="0.3">
      <c r="A15" s="28" t="s">
        <v>61</v>
      </c>
      <c r="B15" s="28">
        <v>12</v>
      </c>
      <c r="C15" s="29">
        <v>134584</v>
      </c>
      <c r="D15" s="29">
        <v>140001</v>
      </c>
      <c r="E15" s="46">
        <f t="shared" si="0"/>
        <v>0.96130741923271978</v>
      </c>
      <c r="F15" s="47">
        <v>5709</v>
      </c>
      <c r="G15" s="29">
        <f t="shared" si="1"/>
        <v>1151404</v>
      </c>
      <c r="H15" s="48">
        <f t="shared" si="2"/>
        <v>9.4374603587633554E-2</v>
      </c>
    </row>
    <row r="16" spans="1:8" x14ac:dyDescent="0.3">
      <c r="A16" s="50" t="s">
        <v>84</v>
      </c>
      <c r="B16" s="51"/>
      <c r="C16" s="52">
        <f>SUM(C4:C15)</f>
        <v>1151404</v>
      </c>
      <c r="D16" s="52">
        <f>SUM(D4:D15)</f>
        <v>1182830</v>
      </c>
      <c r="E16" s="53">
        <f t="shared" si="0"/>
        <v>0.97343151594058319</v>
      </c>
      <c r="F16" s="54">
        <f>SUM(F4:F15)</f>
        <v>48845</v>
      </c>
      <c r="G16" s="51"/>
      <c r="H16" s="51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A4335"/>
  </sheetPr>
  <dimension ref="A3:I9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15" customWidth="1"/>
    <col min="2" max="2" width="22" customWidth="1"/>
    <col min="3" max="4" width="18" customWidth="1"/>
    <col min="5" max="5" width="12" customWidth="1"/>
    <col min="6" max="6" width="14" customWidth="1"/>
    <col min="7" max="7" width="12" customWidth="1"/>
    <col min="8" max="8" width="16" customWidth="1"/>
    <col min="9" max="9" width="8" customWidth="1"/>
  </cols>
  <sheetData>
    <row r="3" spans="1:9" ht="34.5" customHeight="1" x14ac:dyDescent="0.3">
      <c r="A3" s="55" t="s">
        <v>27</v>
      </c>
      <c r="B3" s="55" t="s">
        <v>64</v>
      </c>
      <c r="C3" s="55" t="s">
        <v>79</v>
      </c>
      <c r="D3" s="55" t="s">
        <v>68</v>
      </c>
      <c r="E3" s="55" t="s">
        <v>85</v>
      </c>
      <c r="F3" s="55" t="s">
        <v>86</v>
      </c>
      <c r="G3" s="55" t="s">
        <v>87</v>
      </c>
      <c r="H3" s="55" t="s">
        <v>88</v>
      </c>
      <c r="I3" s="55" t="s">
        <v>29</v>
      </c>
    </row>
    <row r="4" spans="1:9" x14ac:dyDescent="0.3">
      <c r="A4" s="21" t="s">
        <v>19</v>
      </c>
      <c r="B4" s="21" t="s">
        <v>69</v>
      </c>
      <c r="C4" s="22">
        <v>304706</v>
      </c>
      <c r="D4" s="22">
        <v>313968</v>
      </c>
      <c r="E4" s="23">
        <f t="shared" ref="E4:E9" si="0">C4/D4</f>
        <v>0.9705001783621261</v>
      </c>
      <c r="F4" s="56">
        <v>13043</v>
      </c>
      <c r="G4" s="57">
        <v>72</v>
      </c>
      <c r="H4" s="22">
        <f t="shared" ref="H4:H9" si="1">C4/G4</f>
        <v>4232.0277777777774</v>
      </c>
      <c r="I4" s="58">
        <v>1</v>
      </c>
    </row>
    <row r="5" spans="1:9" x14ac:dyDescent="0.3">
      <c r="A5" s="30" t="s">
        <v>37</v>
      </c>
      <c r="B5" s="30" t="s">
        <v>74</v>
      </c>
      <c r="C5" s="31">
        <v>210454</v>
      </c>
      <c r="D5" s="31">
        <v>213659</v>
      </c>
      <c r="E5" s="32">
        <f t="shared" si="0"/>
        <v>0.98499946175915831</v>
      </c>
      <c r="F5" s="59">
        <v>8862</v>
      </c>
      <c r="G5" s="60">
        <v>72</v>
      </c>
      <c r="H5" s="31">
        <f t="shared" si="1"/>
        <v>2922.9722222222222</v>
      </c>
      <c r="I5" s="61">
        <v>2</v>
      </c>
    </row>
    <row r="6" spans="1:9" x14ac:dyDescent="0.3">
      <c r="A6" s="25" t="s">
        <v>41</v>
      </c>
      <c r="B6" s="25" t="s">
        <v>75</v>
      </c>
      <c r="C6" s="19">
        <v>172826</v>
      </c>
      <c r="D6" s="19">
        <v>178713</v>
      </c>
      <c r="E6" s="27">
        <f t="shared" si="0"/>
        <v>0.96705891569163971</v>
      </c>
      <c r="F6" s="26">
        <v>7340</v>
      </c>
      <c r="G6" s="62">
        <v>72</v>
      </c>
      <c r="H6" s="19">
        <f t="shared" si="1"/>
        <v>2400.3611111111113</v>
      </c>
      <c r="I6" s="63">
        <v>3</v>
      </c>
    </row>
    <row r="7" spans="1:9" x14ac:dyDescent="0.3">
      <c r="A7" s="30" t="s">
        <v>45</v>
      </c>
      <c r="B7" s="30" t="s">
        <v>78</v>
      </c>
      <c r="C7" s="31">
        <v>167290</v>
      </c>
      <c r="D7" s="31">
        <v>171234</v>
      </c>
      <c r="E7" s="32">
        <f t="shared" si="0"/>
        <v>0.97696719109522645</v>
      </c>
      <c r="F7" s="59">
        <v>7053</v>
      </c>
      <c r="G7" s="60">
        <v>72</v>
      </c>
      <c r="H7" s="31">
        <f t="shared" si="1"/>
        <v>2323.4722222222222</v>
      </c>
      <c r="I7" s="64">
        <v>4</v>
      </c>
    </row>
    <row r="8" spans="1:9" x14ac:dyDescent="0.3">
      <c r="A8" s="25" t="s">
        <v>49</v>
      </c>
      <c r="B8" s="25" t="s">
        <v>76</v>
      </c>
      <c r="C8" s="19">
        <v>157392</v>
      </c>
      <c r="D8" s="19">
        <v>160256</v>
      </c>
      <c r="E8" s="27">
        <f t="shared" si="0"/>
        <v>0.98212859424920129</v>
      </c>
      <c r="F8" s="26">
        <v>6671</v>
      </c>
      <c r="G8" s="62">
        <v>72</v>
      </c>
      <c r="H8" s="19">
        <f t="shared" si="1"/>
        <v>2186</v>
      </c>
      <c r="I8" s="65">
        <v>5</v>
      </c>
    </row>
    <row r="9" spans="1:9" x14ac:dyDescent="0.3">
      <c r="A9" s="30" t="s">
        <v>53</v>
      </c>
      <c r="B9" s="30" t="s">
        <v>77</v>
      </c>
      <c r="C9" s="31">
        <v>138736</v>
      </c>
      <c r="D9" s="31">
        <v>144999</v>
      </c>
      <c r="E9" s="32">
        <f t="shared" si="0"/>
        <v>0.95680659866619766</v>
      </c>
      <c r="F9" s="59">
        <v>5876</v>
      </c>
      <c r="G9" s="60">
        <v>72</v>
      </c>
      <c r="H9" s="31">
        <f t="shared" si="1"/>
        <v>1926.8888888888889</v>
      </c>
      <c r="I9" s="64">
        <v>6</v>
      </c>
    </row>
  </sheetData>
  <conditionalFormatting sqref="C4:C9">
    <cfRule type="dataBar" priority="2">
      <dataBar>
        <cfvo type="min"/>
        <cfvo type="max"/>
        <color rgb="FF217346"/>
      </dataBar>
      <extLst>
        <ext xmlns:x14="http://schemas.microsoft.com/office/spreadsheetml/2009/9/main" uri="{B025F937-C7B1-47D3-B67F-A62EFF666E3E}">
          <x14:id>{564FCAAE-76C2-4BF9-9F2A-A32FC98088D0}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4FCAAE-76C2-4BF9-9F2A-A32FC98088D0}">
            <x14:dataBar axisPosition="none">
              <x14:cfvo type="min"/>
              <x14:cfvo type="max"/>
              <x14:negativeFillColor rgb="FF217346"/>
            </x14:dataBar>
          </x14:cfRule>
          <xm:sqref>C4:C9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1B9A"/>
  </sheetPr>
  <dimension ref="A3:I9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16" customWidth="1"/>
    <col min="2" max="2" width="13" customWidth="1"/>
    <col min="3" max="3" width="12" customWidth="1"/>
    <col min="4" max="4" width="18" customWidth="1"/>
    <col min="5" max="6" width="13" customWidth="1"/>
    <col min="7" max="7" width="18" customWidth="1"/>
    <col min="8" max="8" width="12" customWidth="1"/>
    <col min="9" max="9" width="18" customWidth="1"/>
  </cols>
  <sheetData>
    <row r="3" spans="1:9" ht="39.75" customHeight="1" x14ac:dyDescent="0.3">
      <c r="A3" s="66" t="s">
        <v>30</v>
      </c>
      <c r="B3" s="66" t="s">
        <v>65</v>
      </c>
      <c r="C3" s="66" t="s">
        <v>89</v>
      </c>
      <c r="D3" s="66" t="s">
        <v>79</v>
      </c>
      <c r="E3" s="66" t="s">
        <v>90</v>
      </c>
      <c r="F3" s="66" t="s">
        <v>80</v>
      </c>
      <c r="G3" s="66" t="s">
        <v>68</v>
      </c>
      <c r="H3" s="66" t="s">
        <v>85</v>
      </c>
      <c r="I3" s="66" t="s">
        <v>91</v>
      </c>
    </row>
    <row r="4" spans="1:9" x14ac:dyDescent="0.3">
      <c r="A4" s="25" t="s">
        <v>35</v>
      </c>
      <c r="B4" s="18" t="s">
        <v>71</v>
      </c>
      <c r="C4" s="67">
        <v>48</v>
      </c>
      <c r="D4" s="19">
        <v>469392</v>
      </c>
      <c r="E4" s="27">
        <v>0.40766906851588702</v>
      </c>
      <c r="F4" s="26">
        <v>9779</v>
      </c>
      <c r="G4" s="19">
        <v>481484</v>
      </c>
      <c r="H4" s="27">
        <f t="shared" ref="H4:H9" si="0">D4/G4</f>
        <v>0.97488597751950223</v>
      </c>
      <c r="I4" s="19">
        <v>140818</v>
      </c>
    </row>
    <row r="5" spans="1:9" x14ac:dyDescent="0.3">
      <c r="A5" s="34" t="s">
        <v>39</v>
      </c>
      <c r="B5" s="68" t="s">
        <v>72</v>
      </c>
      <c r="C5" s="69">
        <v>35</v>
      </c>
      <c r="D5" s="35">
        <v>211785</v>
      </c>
      <c r="E5" s="37">
        <v>0.18393622745090901</v>
      </c>
      <c r="F5" s="36">
        <v>6051</v>
      </c>
      <c r="G5" s="35">
        <v>219176</v>
      </c>
      <c r="H5" s="37">
        <f t="shared" si="0"/>
        <v>0.96627824214330038</v>
      </c>
      <c r="I5" s="35">
        <v>63536</v>
      </c>
    </row>
    <row r="6" spans="1:9" x14ac:dyDescent="0.3">
      <c r="A6" s="25" t="s">
        <v>43</v>
      </c>
      <c r="B6" s="18" t="s">
        <v>71</v>
      </c>
      <c r="C6" s="67">
        <v>22</v>
      </c>
      <c r="D6" s="19">
        <v>198902</v>
      </c>
      <c r="E6" s="27">
        <v>0.172747283860711</v>
      </c>
      <c r="F6" s="26">
        <v>9041</v>
      </c>
      <c r="G6" s="19">
        <v>204429</v>
      </c>
      <c r="H6" s="27">
        <f t="shared" si="0"/>
        <v>0.97296371845481811</v>
      </c>
      <c r="I6" s="19">
        <v>59671</v>
      </c>
    </row>
    <row r="7" spans="1:9" x14ac:dyDescent="0.3">
      <c r="A7" s="34" t="s">
        <v>47</v>
      </c>
      <c r="B7" s="68" t="s">
        <v>70</v>
      </c>
      <c r="C7" s="69">
        <v>15</v>
      </c>
      <c r="D7" s="35">
        <v>114240</v>
      </c>
      <c r="E7" s="37">
        <v>9.9217955114818498E-2</v>
      </c>
      <c r="F7" s="36">
        <v>7616</v>
      </c>
      <c r="G7" s="35">
        <v>116212</v>
      </c>
      <c r="H7" s="37">
        <f t="shared" si="0"/>
        <v>0.9830310122878877</v>
      </c>
      <c r="I7" s="35">
        <v>34272</v>
      </c>
    </row>
    <row r="8" spans="1:9" x14ac:dyDescent="0.3">
      <c r="A8" s="25" t="s">
        <v>51</v>
      </c>
      <c r="B8" s="18" t="s">
        <v>70</v>
      </c>
      <c r="C8" s="67">
        <v>8.5</v>
      </c>
      <c r="D8" s="19">
        <v>95226</v>
      </c>
      <c r="E8" s="27">
        <v>8.2703776127329695E-2</v>
      </c>
      <c r="F8" s="26">
        <v>11203</v>
      </c>
      <c r="G8" s="19">
        <v>97544</v>
      </c>
      <c r="H8" s="27">
        <f t="shared" si="0"/>
        <v>0.9762363651275322</v>
      </c>
      <c r="I8" s="19">
        <v>28568</v>
      </c>
    </row>
    <row r="9" spans="1:9" x14ac:dyDescent="0.3">
      <c r="A9" s="34" t="s">
        <v>55</v>
      </c>
      <c r="B9" s="68" t="s">
        <v>73</v>
      </c>
      <c r="C9" s="69">
        <v>12</v>
      </c>
      <c r="D9" s="35">
        <v>61860</v>
      </c>
      <c r="E9" s="37">
        <v>5.3725688930345503E-2</v>
      </c>
      <c r="F9" s="36">
        <v>5155</v>
      </c>
      <c r="G9" s="35">
        <v>63985</v>
      </c>
      <c r="H9" s="37">
        <f t="shared" si="0"/>
        <v>0.96678909119324841</v>
      </c>
      <c r="I9" s="35">
        <v>18558</v>
      </c>
    </row>
  </sheetData>
  <conditionalFormatting sqref="D4:D9">
    <cfRule type="dataBar" priority="2">
      <dataBar>
        <cfvo type="min"/>
        <cfvo type="max"/>
        <color rgb="FF6A1B9A"/>
      </dataBar>
      <extLst>
        <ext xmlns:x14="http://schemas.microsoft.com/office/spreadsheetml/2009/9/main" uri="{B025F937-C7B1-47D3-B67F-A62EFF666E3E}">
          <x14:id>{5521307B-1398-4192-9843-196385601BB3}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21307B-1398-4192-9843-196385601BB3}">
            <x14:dataBar axisPosition="none">
              <x14:cfvo type="min"/>
              <x14:cfvo type="max"/>
              <x14:negativeFillColor rgb="FF6A1B9A"/>
            </x14:dataBar>
          </x14:cfRule>
          <xm:sqref>D4:D9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4A017"/>
  </sheetPr>
  <dimension ref="B2:B32"/>
  <sheetViews>
    <sheetView showGridLines="0" zoomScaleNormal="100" workbookViewId="0"/>
  </sheetViews>
  <sheetFormatPr baseColWidth="10" defaultColWidth="8.6640625" defaultRowHeight="14.4" x14ac:dyDescent="0.3"/>
  <cols>
    <col min="1" max="1" width="2" customWidth="1"/>
    <col min="2" max="2" width="90" customWidth="1"/>
  </cols>
  <sheetData>
    <row r="2" spans="2:2" ht="25.5" customHeight="1" x14ac:dyDescent="0.3">
      <c r="B2" s="70" t="s">
        <v>92</v>
      </c>
    </row>
    <row r="3" spans="2:2" ht="19.5" customHeight="1" x14ac:dyDescent="0.3">
      <c r="B3" s="71"/>
    </row>
    <row r="4" spans="2:2" ht="25.5" customHeight="1" x14ac:dyDescent="0.3">
      <c r="B4" s="72" t="s">
        <v>93</v>
      </c>
    </row>
    <row r="5" spans="2:2" ht="19.5" customHeight="1" x14ac:dyDescent="0.3">
      <c r="B5" s="73" t="s">
        <v>94</v>
      </c>
    </row>
    <row r="6" spans="2:2" ht="19.5" customHeight="1" x14ac:dyDescent="0.3">
      <c r="B6" s="73" t="s">
        <v>95</v>
      </c>
    </row>
    <row r="7" spans="2:2" ht="19.5" customHeight="1" x14ac:dyDescent="0.3">
      <c r="B7" s="73" t="s">
        <v>96</v>
      </c>
    </row>
    <row r="8" spans="2:2" ht="19.5" customHeight="1" x14ac:dyDescent="0.3">
      <c r="B8" s="73" t="s">
        <v>97</v>
      </c>
    </row>
    <row r="9" spans="2:2" ht="19.5" customHeight="1" x14ac:dyDescent="0.3">
      <c r="B9" s="73" t="s">
        <v>98</v>
      </c>
    </row>
    <row r="10" spans="2:2" ht="19.5" customHeight="1" x14ac:dyDescent="0.3">
      <c r="B10" s="71"/>
    </row>
    <row r="11" spans="2:2" ht="25.5" customHeight="1" x14ac:dyDescent="0.3">
      <c r="B11" s="74" t="s">
        <v>99</v>
      </c>
    </row>
    <row r="12" spans="2:2" ht="19.5" customHeight="1" x14ac:dyDescent="0.3">
      <c r="B12" s="73" t="s">
        <v>100</v>
      </c>
    </row>
    <row r="13" spans="2:2" ht="19.5" customHeight="1" x14ac:dyDescent="0.3">
      <c r="B13" s="73" t="s">
        <v>101</v>
      </c>
    </row>
    <row r="14" spans="2:2" ht="19.5" customHeight="1" x14ac:dyDescent="0.3">
      <c r="B14" s="71"/>
    </row>
    <row r="15" spans="2:2" ht="25.5" customHeight="1" x14ac:dyDescent="0.3">
      <c r="B15" s="75" t="s">
        <v>102</v>
      </c>
    </row>
    <row r="16" spans="2:2" ht="19.5" customHeight="1" x14ac:dyDescent="0.3">
      <c r="B16" s="73" t="s">
        <v>103</v>
      </c>
    </row>
    <row r="17" spans="2:2" ht="19.5" customHeight="1" x14ac:dyDescent="0.3">
      <c r="B17" s="73" t="s">
        <v>104</v>
      </c>
    </row>
    <row r="18" spans="2:2" ht="19.5" customHeight="1" x14ac:dyDescent="0.3">
      <c r="B18" s="73" t="s">
        <v>105</v>
      </c>
    </row>
    <row r="19" spans="2:2" ht="19.5" customHeight="1" x14ac:dyDescent="0.3">
      <c r="B19" s="71"/>
    </row>
    <row r="20" spans="2:2" ht="25.5" customHeight="1" x14ac:dyDescent="0.3">
      <c r="B20" s="76" t="s">
        <v>106</v>
      </c>
    </row>
    <row r="21" spans="2:2" ht="19.5" customHeight="1" x14ac:dyDescent="0.3">
      <c r="B21" s="73" t="s">
        <v>107</v>
      </c>
    </row>
    <row r="22" spans="2:2" ht="19.5" customHeight="1" x14ac:dyDescent="0.3">
      <c r="B22" s="73" t="s">
        <v>108</v>
      </c>
    </row>
    <row r="23" spans="2:2" ht="19.5" customHeight="1" x14ac:dyDescent="0.3">
      <c r="B23" s="73" t="s">
        <v>109</v>
      </c>
    </row>
    <row r="24" spans="2:2" ht="19.5" customHeight="1" x14ac:dyDescent="0.3">
      <c r="B24" s="71"/>
    </row>
    <row r="25" spans="2:2" ht="25.5" customHeight="1" x14ac:dyDescent="0.3">
      <c r="B25" s="77" t="s">
        <v>110</v>
      </c>
    </row>
    <row r="26" spans="2:2" ht="19.5" customHeight="1" x14ac:dyDescent="0.3">
      <c r="B26" s="73" t="s">
        <v>111</v>
      </c>
    </row>
    <row r="27" spans="2:2" ht="19.5" customHeight="1" x14ac:dyDescent="0.3">
      <c r="B27" s="73" t="s">
        <v>112</v>
      </c>
    </row>
    <row r="28" spans="2:2" ht="19.5" customHeight="1" x14ac:dyDescent="0.3">
      <c r="B28" s="73" t="s">
        <v>113</v>
      </c>
    </row>
    <row r="29" spans="2:2" ht="19.5" customHeight="1" x14ac:dyDescent="0.3">
      <c r="B29" s="71"/>
    </row>
    <row r="30" spans="2:2" ht="25.5" customHeight="1" x14ac:dyDescent="0.3">
      <c r="B30" s="78" t="s">
        <v>114</v>
      </c>
    </row>
    <row r="31" spans="2:2" ht="19.5" customHeight="1" x14ac:dyDescent="0.3">
      <c r="B31" s="73" t="s">
        <v>115</v>
      </c>
    </row>
    <row r="32" spans="2:2" ht="19.5" customHeight="1" x14ac:dyDescent="0.3">
      <c r="B32" s="73" t="s">
        <v>116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📊 DASHBOARD</vt:lpstr>
      <vt:lpstr>Données</vt:lpstr>
      <vt:lpstr>Résumé Mensuel</vt:lpstr>
      <vt:lpstr>Analyse Villes</vt:lpstr>
      <vt:lpstr>Analyse Produits</vt:lpstr>
      <vt:lpstr>ℹ️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A. Larhlimi</cp:lastModifiedBy>
  <cp:revision>1</cp:revision>
  <dcterms:created xsi:type="dcterms:W3CDTF">2026-03-28T07:39:00Z</dcterms:created>
  <dcterms:modified xsi:type="dcterms:W3CDTF">2026-03-28T08:14:28Z</dcterms:modified>
  <dc:language>en-US</dc:language>
</cp:coreProperties>
</file>